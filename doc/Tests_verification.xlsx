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usta\Documents\Testes - Projeto Final-cod\"/>
    </mc:Choice>
  </mc:AlternateContent>
  <xr:revisionPtr revIDLastSave="0" documentId="13_ncr:1_{79442EB1-5A86-48C0-88E7-8552E98269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Requirements" sheetId="2" r:id="rId2"/>
    <sheet name="Test Cases" sheetId="3" r:id="rId3"/>
    <sheet name="Traceability Matrix" sheetId="4" r:id="rId4"/>
    <sheet name="Test Execution" sheetId="5" r:id="rId5"/>
    <sheet name="Coverage 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6" l="1"/>
  <c r="C18" i="6"/>
  <c r="F15" i="6"/>
  <c r="E15" i="6"/>
  <c r="D15" i="6"/>
  <c r="C15" i="6"/>
  <c r="E14" i="6"/>
  <c r="C14" i="6"/>
  <c r="C13" i="6"/>
  <c r="C12" i="6"/>
  <c r="C5" i="6"/>
  <c r="M62" i="5"/>
  <c r="K62" i="5"/>
  <c r="I62" i="5"/>
  <c r="G62" i="5"/>
  <c r="E62" i="5"/>
  <c r="B62" i="5"/>
  <c r="M61" i="5"/>
  <c r="K61" i="5"/>
  <c r="I61" i="5"/>
  <c r="G61" i="5"/>
  <c r="E61" i="5"/>
  <c r="B61" i="5"/>
  <c r="M60" i="5"/>
  <c r="K60" i="5"/>
  <c r="I60" i="5"/>
  <c r="G60" i="5"/>
  <c r="E60" i="5"/>
  <c r="B60" i="5"/>
  <c r="M59" i="5"/>
  <c r="K59" i="5"/>
  <c r="I59" i="5"/>
  <c r="G59" i="5"/>
  <c r="E59" i="5"/>
  <c r="B59" i="5"/>
  <c r="M58" i="5"/>
  <c r="K58" i="5"/>
  <c r="I58" i="5"/>
  <c r="G58" i="5"/>
  <c r="E58" i="5"/>
  <c r="B58" i="5"/>
  <c r="M57" i="5"/>
  <c r="K57" i="5"/>
  <c r="I57" i="5"/>
  <c r="G57" i="5"/>
  <c r="E57" i="5"/>
  <c r="B57" i="5"/>
  <c r="M56" i="5"/>
  <c r="K56" i="5"/>
  <c r="I56" i="5"/>
  <c r="G56" i="5"/>
  <c r="E56" i="5"/>
  <c r="B56" i="5"/>
  <c r="M55" i="5"/>
  <c r="K55" i="5"/>
  <c r="I55" i="5"/>
  <c r="G55" i="5"/>
  <c r="E55" i="5"/>
  <c r="B55" i="5"/>
  <c r="M54" i="5"/>
  <c r="K54" i="5"/>
  <c r="I54" i="5"/>
  <c r="G54" i="5"/>
  <c r="E54" i="5"/>
  <c r="B54" i="5"/>
  <c r="M53" i="5"/>
  <c r="K53" i="5"/>
  <c r="I53" i="5"/>
  <c r="G53" i="5"/>
  <c r="E53" i="5"/>
  <c r="B53" i="5"/>
  <c r="M52" i="5"/>
  <c r="K52" i="5"/>
  <c r="I52" i="5"/>
  <c r="G52" i="5"/>
  <c r="E52" i="5"/>
  <c r="B52" i="5"/>
  <c r="M51" i="5"/>
  <c r="K51" i="5"/>
  <c r="I51" i="5"/>
  <c r="G51" i="5"/>
  <c r="E51" i="5"/>
  <c r="B51" i="5"/>
  <c r="M50" i="5"/>
  <c r="K50" i="5"/>
  <c r="I50" i="5"/>
  <c r="G50" i="5"/>
  <c r="E50" i="5"/>
  <c r="B50" i="5"/>
  <c r="M49" i="5"/>
  <c r="K49" i="5"/>
  <c r="I49" i="5"/>
  <c r="G49" i="5"/>
  <c r="E49" i="5"/>
  <c r="B49" i="5"/>
  <c r="M48" i="5"/>
  <c r="K48" i="5"/>
  <c r="I48" i="5"/>
  <c r="G48" i="5"/>
  <c r="E48" i="5"/>
  <c r="B48" i="5"/>
  <c r="M47" i="5"/>
  <c r="K47" i="5"/>
  <c r="I47" i="5"/>
  <c r="G47" i="5"/>
  <c r="E47" i="5"/>
  <c r="B47" i="5"/>
  <c r="M46" i="5"/>
  <c r="K46" i="5"/>
  <c r="I46" i="5"/>
  <c r="G46" i="5"/>
  <c r="E46" i="5"/>
  <c r="B46" i="5"/>
  <c r="M45" i="5"/>
  <c r="K45" i="5"/>
  <c r="I45" i="5"/>
  <c r="G45" i="5"/>
  <c r="E45" i="5"/>
  <c r="B45" i="5"/>
  <c r="M44" i="5"/>
  <c r="K44" i="5"/>
  <c r="I44" i="5"/>
  <c r="G44" i="5"/>
  <c r="E44" i="5"/>
  <c r="B44" i="5"/>
  <c r="M43" i="5"/>
  <c r="K43" i="5"/>
  <c r="I43" i="5"/>
  <c r="G43" i="5"/>
  <c r="E43" i="5"/>
  <c r="B43" i="5"/>
  <c r="M42" i="5"/>
  <c r="K42" i="5"/>
  <c r="I42" i="5"/>
  <c r="G42" i="5"/>
  <c r="E42" i="5"/>
  <c r="B42" i="5"/>
  <c r="M41" i="5"/>
  <c r="K41" i="5"/>
  <c r="I41" i="5"/>
  <c r="G41" i="5"/>
  <c r="E41" i="5"/>
  <c r="B41" i="5"/>
  <c r="M40" i="5"/>
  <c r="K40" i="5"/>
  <c r="I40" i="5"/>
  <c r="G40" i="5"/>
  <c r="E40" i="5"/>
  <c r="B40" i="5"/>
  <c r="M39" i="5"/>
  <c r="K39" i="5"/>
  <c r="I39" i="5"/>
  <c r="G39" i="5"/>
  <c r="E39" i="5"/>
  <c r="B39" i="5"/>
  <c r="M38" i="5"/>
  <c r="K38" i="5"/>
  <c r="I38" i="5"/>
  <c r="G38" i="5"/>
  <c r="E38" i="5"/>
  <c r="B38" i="5"/>
  <c r="M37" i="5"/>
  <c r="K37" i="5"/>
  <c r="I37" i="5"/>
  <c r="G37" i="5"/>
  <c r="E37" i="5"/>
  <c r="B37" i="5"/>
  <c r="M36" i="5"/>
  <c r="K36" i="5"/>
  <c r="I36" i="5"/>
  <c r="G36" i="5"/>
  <c r="E36" i="5"/>
  <c r="B36" i="5"/>
  <c r="M35" i="5"/>
  <c r="K35" i="5"/>
  <c r="I35" i="5"/>
  <c r="G35" i="5"/>
  <c r="E35" i="5"/>
  <c r="B35" i="5"/>
  <c r="M34" i="5"/>
  <c r="K34" i="5"/>
  <c r="I34" i="5"/>
  <c r="G34" i="5"/>
  <c r="E34" i="5"/>
  <c r="B34" i="5"/>
  <c r="M33" i="5"/>
  <c r="K33" i="5"/>
  <c r="I33" i="5"/>
  <c r="G33" i="5"/>
  <c r="E33" i="5"/>
  <c r="B33" i="5"/>
  <c r="M32" i="5"/>
  <c r="K32" i="5"/>
  <c r="I32" i="5"/>
  <c r="G32" i="5"/>
  <c r="E32" i="5"/>
  <c r="B32" i="5"/>
  <c r="M31" i="5"/>
  <c r="K31" i="5"/>
  <c r="I31" i="5"/>
  <c r="G31" i="5"/>
  <c r="E31" i="5"/>
  <c r="B31" i="5"/>
  <c r="M30" i="5"/>
  <c r="K30" i="5"/>
  <c r="I30" i="5"/>
  <c r="G30" i="5"/>
  <c r="E30" i="5"/>
  <c r="B30" i="5"/>
  <c r="M29" i="5"/>
  <c r="K29" i="5"/>
  <c r="I29" i="5"/>
  <c r="G29" i="5"/>
  <c r="E29" i="5"/>
  <c r="B29" i="5"/>
  <c r="M28" i="5"/>
  <c r="K28" i="5"/>
  <c r="I28" i="5"/>
  <c r="G28" i="5"/>
  <c r="E28" i="5"/>
  <c r="B28" i="5"/>
  <c r="M27" i="5"/>
  <c r="K27" i="5"/>
  <c r="I27" i="5"/>
  <c r="G27" i="5"/>
  <c r="E27" i="5"/>
  <c r="B27" i="5"/>
  <c r="M26" i="5"/>
  <c r="K26" i="5"/>
  <c r="I26" i="5"/>
  <c r="G26" i="5"/>
  <c r="E26" i="5"/>
  <c r="B26" i="5"/>
  <c r="M25" i="5"/>
  <c r="K25" i="5"/>
  <c r="I25" i="5"/>
  <c r="G25" i="5"/>
  <c r="E25" i="5"/>
  <c r="B25" i="5"/>
  <c r="M24" i="5"/>
  <c r="K24" i="5"/>
  <c r="I24" i="5"/>
  <c r="G24" i="5"/>
  <c r="E24" i="5"/>
  <c r="B24" i="5"/>
  <c r="M23" i="5"/>
  <c r="K23" i="5"/>
  <c r="I23" i="5"/>
  <c r="G23" i="5"/>
  <c r="E23" i="5"/>
  <c r="B23" i="5"/>
  <c r="M22" i="5"/>
  <c r="K22" i="5"/>
  <c r="I22" i="5"/>
  <c r="G22" i="5"/>
  <c r="E22" i="5"/>
  <c r="B22" i="5"/>
  <c r="M21" i="5"/>
  <c r="K21" i="5"/>
  <c r="I21" i="5"/>
  <c r="G21" i="5"/>
  <c r="E21" i="5"/>
  <c r="B21" i="5"/>
  <c r="M20" i="5"/>
  <c r="K20" i="5"/>
  <c r="I20" i="5"/>
  <c r="G20" i="5"/>
  <c r="E20" i="5"/>
  <c r="B20" i="5"/>
  <c r="M19" i="5"/>
  <c r="K19" i="5"/>
  <c r="I19" i="5"/>
  <c r="G19" i="5"/>
  <c r="E19" i="5"/>
  <c r="B19" i="5"/>
  <c r="M18" i="5"/>
  <c r="K18" i="5"/>
  <c r="I18" i="5"/>
  <c r="G18" i="5"/>
  <c r="E18" i="5"/>
  <c r="B18" i="5"/>
  <c r="M17" i="5"/>
  <c r="K17" i="5"/>
  <c r="I17" i="5"/>
  <c r="G17" i="5"/>
  <c r="E17" i="5"/>
  <c r="B17" i="5"/>
  <c r="M16" i="5"/>
  <c r="K16" i="5"/>
  <c r="I16" i="5"/>
  <c r="G16" i="5"/>
  <c r="E16" i="5"/>
  <c r="B16" i="5"/>
  <c r="M15" i="5"/>
  <c r="K15" i="5"/>
  <c r="I15" i="5"/>
  <c r="G15" i="5"/>
  <c r="E15" i="5"/>
  <c r="B15" i="5"/>
  <c r="M14" i="5"/>
  <c r="K14" i="5"/>
  <c r="I14" i="5"/>
  <c r="G14" i="5"/>
  <c r="E14" i="5"/>
  <c r="B14" i="5"/>
  <c r="M13" i="5"/>
  <c r="K13" i="5"/>
  <c r="I13" i="5"/>
  <c r="G13" i="5"/>
  <c r="E13" i="5"/>
  <c r="B13" i="5"/>
  <c r="M12" i="5"/>
  <c r="K12" i="5"/>
  <c r="I12" i="5"/>
  <c r="G12" i="5"/>
  <c r="E12" i="5"/>
  <c r="B12" i="5"/>
  <c r="M11" i="5"/>
  <c r="K11" i="5"/>
  <c r="I11" i="5"/>
  <c r="G11" i="5"/>
  <c r="E11" i="5"/>
  <c r="B11" i="5"/>
  <c r="M10" i="5"/>
  <c r="K10" i="5"/>
  <c r="I10" i="5"/>
  <c r="G10" i="5"/>
  <c r="E10" i="5"/>
  <c r="B10" i="5"/>
  <c r="M9" i="5"/>
  <c r="K9" i="5"/>
  <c r="I9" i="5"/>
  <c r="G9" i="5"/>
  <c r="E9" i="5"/>
  <c r="B9" i="5"/>
  <c r="M8" i="5"/>
  <c r="K8" i="5"/>
  <c r="I8" i="5"/>
  <c r="G8" i="5"/>
  <c r="E8" i="5"/>
  <c r="B8" i="5"/>
  <c r="M7" i="5"/>
  <c r="K7" i="5"/>
  <c r="I7" i="5"/>
  <c r="G7" i="5"/>
  <c r="E7" i="5"/>
  <c r="B7" i="5"/>
  <c r="M6" i="5"/>
  <c r="K6" i="5"/>
  <c r="I6" i="5"/>
  <c r="G6" i="5"/>
  <c r="E6" i="5"/>
  <c r="B6" i="5"/>
  <c r="M5" i="5"/>
  <c r="K5" i="5"/>
  <c r="I5" i="5"/>
  <c r="G5" i="5"/>
  <c r="E5" i="5"/>
  <c r="B5" i="5"/>
  <c r="M4" i="5"/>
  <c r="K4" i="5"/>
  <c r="I4" i="5"/>
  <c r="G4" i="5"/>
  <c r="E4" i="5"/>
  <c r="B4" i="5"/>
  <c r="M3" i="5"/>
  <c r="K3" i="5"/>
  <c r="I3" i="5"/>
  <c r="G3" i="5"/>
  <c r="E3" i="5"/>
  <c r="B3" i="5"/>
  <c r="M2" i="5"/>
  <c r="C22" i="6" s="1"/>
  <c r="K2" i="5"/>
  <c r="I2" i="5"/>
  <c r="G2" i="5"/>
  <c r="E2" i="5"/>
  <c r="B2" i="5"/>
  <c r="I41" i="2"/>
  <c r="H41" i="2"/>
  <c r="G41" i="2"/>
  <c r="H40" i="2"/>
  <c r="I40" i="2" s="1"/>
  <c r="G40" i="2"/>
  <c r="H39" i="2"/>
  <c r="I39" i="2" s="1"/>
  <c r="G39" i="2"/>
  <c r="H38" i="2"/>
  <c r="I38" i="2" s="1"/>
  <c r="G38" i="2"/>
  <c r="H37" i="2"/>
  <c r="I37" i="2" s="1"/>
  <c r="G37" i="2"/>
  <c r="H36" i="2"/>
  <c r="I36" i="2" s="1"/>
  <c r="G36" i="2"/>
  <c r="H35" i="2"/>
  <c r="I35" i="2" s="1"/>
  <c r="G35" i="2"/>
  <c r="H34" i="2"/>
  <c r="I34" i="2" s="1"/>
  <c r="G34" i="2"/>
  <c r="I33" i="2"/>
  <c r="H33" i="2"/>
  <c r="G33" i="2"/>
  <c r="H32" i="2"/>
  <c r="I32" i="2" s="1"/>
  <c r="G32" i="2"/>
  <c r="H31" i="2"/>
  <c r="I31" i="2" s="1"/>
  <c r="G31" i="2"/>
  <c r="I30" i="2"/>
  <c r="H30" i="2"/>
  <c r="G30" i="2"/>
  <c r="H29" i="2"/>
  <c r="I29" i="2" s="1"/>
  <c r="G29" i="2"/>
  <c r="H28" i="2"/>
  <c r="I28" i="2" s="1"/>
  <c r="G28" i="2"/>
  <c r="H27" i="2"/>
  <c r="I27" i="2" s="1"/>
  <c r="G27" i="2"/>
  <c r="H26" i="2"/>
  <c r="I26" i="2" s="1"/>
  <c r="G26" i="2"/>
  <c r="H25" i="2"/>
  <c r="I25" i="2" s="1"/>
  <c r="G25" i="2"/>
  <c r="H24" i="2"/>
  <c r="I24" i="2" s="1"/>
  <c r="G24" i="2"/>
  <c r="H23" i="2"/>
  <c r="I23" i="2" s="1"/>
  <c r="G23" i="2"/>
  <c r="H22" i="2"/>
  <c r="I22" i="2" s="1"/>
  <c r="G22" i="2"/>
  <c r="H21" i="2"/>
  <c r="I21" i="2" s="1"/>
  <c r="G21" i="2"/>
  <c r="H20" i="2"/>
  <c r="I20" i="2" s="1"/>
  <c r="G20" i="2"/>
  <c r="H19" i="2"/>
  <c r="I19" i="2" s="1"/>
  <c r="G19" i="2"/>
  <c r="H18" i="2"/>
  <c r="I18" i="2" s="1"/>
  <c r="G18" i="2"/>
  <c r="I17" i="2"/>
  <c r="H17" i="2"/>
  <c r="G17" i="2"/>
  <c r="H16" i="2"/>
  <c r="I16" i="2" s="1"/>
  <c r="G16" i="2"/>
  <c r="H15" i="2"/>
  <c r="I15" i="2" s="1"/>
  <c r="G15" i="2"/>
  <c r="D14" i="6" s="1"/>
  <c r="F14" i="6" s="1"/>
  <c r="I14" i="2"/>
  <c r="H14" i="2"/>
  <c r="G14" i="2"/>
  <c r="H13" i="2"/>
  <c r="I13" i="2" s="1"/>
  <c r="G13" i="2"/>
  <c r="H12" i="2"/>
  <c r="I12" i="2" s="1"/>
  <c r="G12" i="2"/>
  <c r="H11" i="2"/>
  <c r="I11" i="2" s="1"/>
  <c r="G11" i="2"/>
  <c r="H10" i="2"/>
  <c r="I10" i="2" s="1"/>
  <c r="G10" i="2"/>
  <c r="H9" i="2"/>
  <c r="I9" i="2" s="1"/>
  <c r="G9" i="2"/>
  <c r="H8" i="2"/>
  <c r="I8" i="2" s="1"/>
  <c r="G8" i="2"/>
  <c r="H7" i="2"/>
  <c r="I7" i="2" s="1"/>
  <c r="G7" i="2"/>
  <c r="E13" i="6" s="1"/>
  <c r="H6" i="2"/>
  <c r="I6" i="2" s="1"/>
  <c r="G6" i="2"/>
  <c r="H5" i="2"/>
  <c r="I5" i="2" s="1"/>
  <c r="G5" i="2"/>
  <c r="H4" i="2"/>
  <c r="I4" i="2" s="1"/>
  <c r="G4" i="2"/>
  <c r="H3" i="2"/>
  <c r="I3" i="2" s="1"/>
  <c r="G3" i="2"/>
  <c r="H2" i="2"/>
  <c r="I2" i="2" s="1"/>
  <c r="G2" i="2"/>
  <c r="C6" i="6" s="1"/>
  <c r="C8" i="6" s="1"/>
  <c r="D13" i="6" l="1"/>
  <c r="F13" i="6" s="1"/>
  <c r="D12" i="6"/>
  <c r="F12" i="6" s="1"/>
  <c r="C19" i="6"/>
  <c r="C7" i="6"/>
  <c r="E12" i="6"/>
  <c r="C20" i="6"/>
  <c r="C21" i="6"/>
  <c r="C24" i="6" l="1"/>
</calcChain>
</file>

<file path=xl/sharedStrings.xml><?xml version="1.0" encoding="utf-8"?>
<sst xmlns="http://schemas.openxmlformats.org/spreadsheetml/2006/main" count="1204" uniqueCount="333">
  <si>
    <t>Functional Tests - VMU Mode Logic</t>
  </si>
  <si>
    <t>Project</t>
  </si>
  <si>
    <t>HEV Power-Split Mode Logic (HEV_powersplit_adapted)</t>
  </si>
  <si>
    <t>Source under test</t>
  </si>
  <si>
    <t>src/mode_logic_team.c</t>
  </si>
  <si>
    <t>Header</t>
  </si>
  <si>
    <t>inc/mode_logic_team.h</t>
  </si>
  <si>
    <t>Requirements</t>
  </si>
  <si>
    <t>doc/Requisitos_preview.pdf (Sections 4 and 5)</t>
  </si>
  <si>
    <t>Test file</t>
  </si>
  <si>
    <t>Deliverable</t>
  </si>
  <si>
    <t>4/4 Tests - Functional testing: Excel sheet with basic functional test cases and evidence of coverage for all requirement IDs</t>
  </si>
  <si>
    <t>Version</t>
  </si>
  <si>
    <t>Date</t>
  </si>
  <si>
    <t>2026-04-23</t>
  </si>
  <si>
    <t>Responsible team</t>
  </si>
  <si>
    <t>Danilo (A), Marinel (B), Bruna (C), Hugo (D), Gustavo (E)</t>
  </si>
  <si>
    <t>Sheet layout</t>
  </si>
  <si>
    <t>Catalog of 40 requirements (SysHLR, SwHLR, SwLLR, NfHLR) with coverage/status auto-fields.</t>
  </si>
  <si>
    <t>Test Cases</t>
  </si>
  <si>
    <t>One row per test case: TC ID and Req ID in separate columns, code references, inputs, expected outputs.</t>
  </si>
  <si>
    <t>Traceability Matrix</t>
  </si>
  <si>
    <t>AUTOSAR-style: one row per (Req, TC) pair with Code Element / File / Line Number.</t>
  </si>
  <si>
    <t>Test Execution</t>
  </si>
  <si>
    <t>One row per TC with lookup of expected values; Status is auto-computed by comparing expected vs actual (mode + Mot/Gen/ICE).</t>
  </si>
  <si>
    <t>Coverage Summary</t>
  </si>
  <si>
    <t>KPIs: coverage by req type, total/pass/fail/not-executed counters, pass-rate.</t>
  </si>
  <si>
    <t>Status Legend</t>
  </si>
  <si>
    <t>PASS</t>
  </si>
  <si>
    <t>Actual mode AND all three enables match expected.</t>
  </si>
  <si>
    <t>FAIL</t>
  </si>
  <si>
    <t>At least one of {mode, Mot_Enable, Gen_Enable, ICE_Enable} differs.</t>
  </si>
  <si>
    <t>NOT EXECUTED</t>
  </si>
  <si>
    <t>Test authored but not yet run (all actual fields empty).</t>
  </si>
  <si>
    <t>N/A</t>
  </si>
  <si>
    <t>Not verifiable via dynamic functional test (e.g., static property).</t>
  </si>
  <si>
    <t>BLOCKED</t>
  </si>
  <si>
    <t>Test cannot be executed because of an external blocker.</t>
  </si>
  <si>
    <t>Req ID</t>
  </si>
  <si>
    <t>Type</t>
  </si>
  <si>
    <t>Title</t>
  </si>
  <si>
    <t>Description</t>
  </si>
  <si>
    <t>Derived From</t>
  </si>
  <si>
    <t>Owner</t>
  </si>
  <si>
    <t>Covered?</t>
  </si>
  <si>
    <t># Test Cases</t>
  </si>
  <si>
    <t>Status</t>
  </si>
  <si>
    <t>SysHLR01</t>
  </si>
  <si>
    <t>System HLR</t>
  </si>
  <si>
    <t>Power-Split Supervisory Mode Selection</t>
  </si>
  <si>
    <t>VMU selects exactly one operating mode from {Standstill, EV, RegenB, Start, ICE, Hybrid} each cycle, evaluating speed, P_dem, SOC, wEng.</t>
  </si>
  <si>
    <t>-</t>
  </si>
  <si>
    <t>Team</t>
  </si>
  <si>
    <t>SysHLR02</t>
  </si>
  <si>
    <t>Deterministic Powertrain Enable Coordination</t>
  </si>
  <si>
    <t>For each selected mode, VMU commands deterministic Mot/Gen/ICE enable per mapping: Standstill{0,0,0}, EV{1,0,0}, RegenB{1,0,0}, Start{1,1,0}, ICE{0,1,1}, Hybrid{1,1,1}.</t>
  </si>
  <si>
    <t>SysHLR03</t>
  </si>
  <si>
    <t>Calibratable and Hysteretic Transition Strategy</t>
  </si>
  <si>
    <t>Transitions use named calibrations (ENG_ON/OFF, SPEED_*, PDEM_*, SOC_*) preserving hysteresis on SOC and engine-speed thresholds.</t>
  </si>
  <si>
    <t>SwHLR01</t>
  </si>
  <si>
    <t>Software HLR</t>
  </si>
  <si>
    <t>Initialization Behavior</t>
  </si>
  <si>
    <t>Software initializes the active mode to Standstill before the first normal evaluation cycle.</t>
  </si>
  <si>
    <t>SwHLR02</t>
  </si>
  <si>
    <t>Deterministic Output Mapping by Active Mode</t>
  </si>
  <si>
    <t>Software commands enable outputs associated with the resolved active mode per the model mapping.</t>
  </si>
  <si>
    <t>SwHLR03</t>
  </si>
  <si>
    <t>Standstill Transition Family</t>
  </si>
  <si>
    <t>While in Standstill, evaluate exits to EV and Start in priority order.</t>
  </si>
  <si>
    <t>SysHLR01, SysHLR03</t>
  </si>
  <si>
    <t>Person A (Danilo)</t>
  </si>
  <si>
    <t>SwHLR04</t>
  </si>
  <si>
    <t>EV Transition Family</t>
  </si>
  <si>
    <t>While in EV, evaluate exits to RegenB, Start, Standstill in priority order.</t>
  </si>
  <si>
    <t>Person B (Marinel)</t>
  </si>
  <si>
    <t>SwHLR05</t>
  </si>
  <si>
    <t>Regenerative-Braking Transition Family</t>
  </si>
  <si>
    <t>While in RegenB, evaluate exits to Start, Standstill, EV in priority order.</t>
  </si>
  <si>
    <t>Person C (Bruna)</t>
  </si>
  <si>
    <t>SwHLR06</t>
  </si>
  <si>
    <t>Engine-Supported External Exit Family</t>
  </si>
  <si>
    <t>While in Start/ICE/Hybrid, evaluate external exits to RegenB, EV, Standstill before internal transitions.</t>
  </si>
  <si>
    <t>Person E (Gustavo)</t>
  </si>
  <si>
    <t>SwHLR07</t>
  </si>
  <si>
    <t>Start Mode Internal Transition Family</t>
  </si>
  <si>
    <t>While in Start with no higher-priority external exit, evaluate internal transitions to Hybrid and ICE.</t>
  </si>
  <si>
    <t>Person D (Hugo)</t>
  </si>
  <si>
    <t>SwHLR08</t>
  </si>
  <si>
    <t>ICE Mode Internal Transition Family</t>
  </si>
  <si>
    <t>While in ICE with no higher-priority external exit, evaluate internal transitions to Start and Hybrid.</t>
  </si>
  <si>
    <t>Person D + E (shared)</t>
  </si>
  <si>
    <t>SwHLR09</t>
  </si>
  <si>
    <t>Hybrid Mode Internal Transition Family</t>
  </si>
  <si>
    <t>While in Hybrid with no higher-priority external exit, evaluate internal transitions to Start and ICE.</t>
  </si>
  <si>
    <t>SwHLR10</t>
  </si>
  <si>
    <t>Initialization and Invalid-Mode Recovery</t>
  </si>
  <si>
    <t>Init to Standstill and recovery from invalid active-mode value are software-defined behaviors outside the 23 modeled transitions.</t>
  </si>
  <si>
    <t>SwLLR01</t>
  </si>
  <si>
    <t>Software LLR</t>
  </si>
  <si>
    <t>Standstill -&gt; EV</t>
  </si>
  <si>
    <t>mode=Standstill AND speed&gt;SPEED_STOP AND speed&lt;=SPEED_EV_MAX AND SOC&gt;=SOC_EV_IN -&gt; EV.</t>
  </si>
  <si>
    <t>SwHLR02, SwHLR03</t>
  </si>
  <si>
    <t>SwLLR02</t>
  </si>
  <si>
    <t>Standstill -&gt; Start</t>
  </si>
  <si>
    <t>mode=Standstill AND speed&gt;SPEED_STOP AND (speed&gt;SPEED_EV_MAX OR SOC&lt;SOC_EV_IN) -&gt; Start.</t>
  </si>
  <si>
    <t>SwLLR03</t>
  </si>
  <si>
    <t>EV -&gt; RegenB</t>
  </si>
  <si>
    <t>mode=EV AND speed&gt;SPEED_REGEN AND P_dem&lt;=PDEM_REGEN -&gt; RegenB.</t>
  </si>
  <si>
    <t>SwHLR02, SwHLR04</t>
  </si>
  <si>
    <t>SwLLR04</t>
  </si>
  <si>
    <t>EV -&gt; Start</t>
  </si>
  <si>
    <t>mode=EV AND (speed&gt;SPEED_EV_MAX OR P_dem&gt;=PDEM_HYB_IN OR SOC&lt;SOC_EV_OUT) -&gt; Start.</t>
  </si>
  <si>
    <t>SwLLR05</t>
  </si>
  <si>
    <t>EV -&gt; Standstill</t>
  </si>
  <si>
    <t>mode=EV AND speed&lt;=SPEED_STOP AND PDEM_STOP_LOW&lt;=P_dem&lt;=PDEM_STOP_HIGH -&gt; Standstill.</t>
  </si>
  <si>
    <t>SwLLR06</t>
  </si>
  <si>
    <t>RegenB -&gt; Start</t>
  </si>
  <si>
    <t>mode=RegenB AND (((speed&gt;SPEED_EV_MAX) AND (P_dem&gt;=PDEM_STOP_LOW)) OR SOC&lt;SOC_EV_OUT) -&gt; Start.</t>
  </si>
  <si>
    <t>SwHLR02, SwHLR05</t>
  </si>
  <si>
    <t>SwLLR07</t>
  </si>
  <si>
    <t>RegenB -&gt; Standstill</t>
  </si>
  <si>
    <t>mode=RegenB AND speed&lt;=SPEED_STOP AND PDEM_STOP_LOW&lt;=P_dem&lt;=PDEM_STOP_HIGH -&gt; Standstill.</t>
  </si>
  <si>
    <t>SwLLR08</t>
  </si>
  <si>
    <t>RegenB -&gt; EV</t>
  </si>
  <si>
    <t>mode=RegenB AND P_dem&gt;=PDEM_STOP_LOW AND speed&gt;SPEED_STOP AND speed&lt;=SPEED_EV_MAX AND SOC&gt;=SOC_EV_OUT -&gt; EV.</t>
  </si>
  <si>
    <t>SwLLR09</t>
  </si>
  <si>
    <t>Start -&gt; RegenB</t>
  </si>
  <si>
    <t>mode=Start AND wEng&gt;ENG_ON AND speed&gt;SPEED_REGEN AND P_dem&lt;=PDEM_REGEN -&gt; RegenB.</t>
  </si>
  <si>
    <t>SwHLR02, SwHLR06</t>
  </si>
  <si>
    <t>SwLLR10</t>
  </si>
  <si>
    <t>ICE -&gt; RegenB</t>
  </si>
  <si>
    <t>mode=ICE AND wEng&gt;ENG_ON AND speed&gt;SPEED_REGEN AND P_dem&lt;=PDEM_REGEN -&gt; RegenB.</t>
  </si>
  <si>
    <t>SwLLR11</t>
  </si>
  <si>
    <t>Hybrid -&gt; RegenB</t>
  </si>
  <si>
    <t>mode=Hybrid AND wEng&gt;ENG_ON AND speed&gt;SPEED_REGEN AND P_dem&lt;=PDEM_REGEN -&gt; RegenB.</t>
  </si>
  <si>
    <t>SwLLR12</t>
  </si>
  <si>
    <t>Start -&gt; EV</t>
  </si>
  <si>
    <t>mode=Start AND wEng&gt;ENG_ON AND PDEM_STOP_LOW&lt;=P_dem&lt;=PDEM_HYB_OUT AND SPEED_STOP&lt;speed&lt;=SPEED_EV_MAX AND SOC&gt;=SOC_EV_IN -&gt; EV.</t>
  </si>
  <si>
    <t>SwLLR13</t>
  </si>
  <si>
    <t>ICE -&gt; EV</t>
  </si>
  <si>
    <t>mode=ICE AND wEng&gt;ENG_ON AND PDEM_STOP_LOW&lt;=P_dem&lt;=PDEM_HYB_OUT AND SPEED_STOP&lt;speed&lt;=SPEED_EV_MAX AND SOC&gt;=SOC_EV_IN -&gt; EV.</t>
  </si>
  <si>
    <t>SwLLR14</t>
  </si>
  <si>
    <t>Hybrid -&gt; EV</t>
  </si>
  <si>
    <t>mode=Hybrid AND wEng&gt;ENG_ON AND PDEM_STOP_LOW&lt;=P_dem&lt;=PDEM_HYB_OUT AND SPEED_STOP&lt;speed&lt;=SPEED_EV_MAX AND SOC&gt;=SOC_EV_IN -&gt; EV.</t>
  </si>
  <si>
    <t>SwLLR15</t>
  </si>
  <si>
    <t>Start -&gt; Standstill</t>
  </si>
  <si>
    <t>mode=Start AND speed&lt;=SPEED_STOP AND PDEM_STOP_LOW&lt;=P_dem&lt;=PDEM_STOP_HIGH -&gt; Standstill.</t>
  </si>
  <si>
    <t>SwLLR16</t>
  </si>
  <si>
    <t>ICE -&gt; Standstill</t>
  </si>
  <si>
    <t>mode=ICE AND speed&lt;=SPEED_STOP AND PDEM_STOP_LOW&lt;=P_dem&lt;=PDEM_STOP_HIGH -&gt; Standstill.</t>
  </si>
  <si>
    <t>SwLLR17</t>
  </si>
  <si>
    <t>Hybrid -&gt; Standstill</t>
  </si>
  <si>
    <t>mode=Hybrid AND speed&lt;=SPEED_STOP AND PDEM_STOP_LOW&lt;=P_dem&lt;=PDEM_STOP_HIGH -&gt; Standstill.</t>
  </si>
  <si>
    <t>SwLLR18</t>
  </si>
  <si>
    <t>Start -&gt; Hybrid</t>
  </si>
  <si>
    <t>mode=Start AND wEng&gt;ENG_ON AND SOC&gt;=SOC_MID AND (speed&gt;SPEED_EV_MAX OR P_dem&gt;=PDEM_HYB_MID) -&gt; Hybrid.</t>
  </si>
  <si>
    <t>SwHLR02, SwHLR07</t>
  </si>
  <si>
    <t>SwLLR19</t>
  </si>
  <si>
    <t>Start -&gt; ICE</t>
  </si>
  <si>
    <t>mode=Start AND wEng&gt;ENG_ON AND (SOC&lt;SOC_MID OR (speed&lt;=SPEED_EV_MAX AND P_dem&lt;PDEM_HYB_MID)) -&gt; ICE.</t>
  </si>
  <si>
    <t>SwLLR20</t>
  </si>
  <si>
    <t>ICE -&gt; Start</t>
  </si>
  <si>
    <t>mode=ICE AND wEng&lt;=ENG_OFF -&gt; Start.</t>
  </si>
  <si>
    <t>SwHLR02, SwHLR08</t>
  </si>
  <si>
    <t>SwLLR21</t>
  </si>
  <si>
    <t>ICE -&gt; Hybrid</t>
  </si>
  <si>
    <t>mode=ICE AND P_dem&gt;=PDEM_HYB_MID AND SOC&gt;=SOC_MID -&gt; Hybrid.</t>
  </si>
  <si>
    <t>SwLLR22</t>
  </si>
  <si>
    <t>Hybrid -&gt; Start</t>
  </si>
  <si>
    <t>mode=Hybrid AND wEng&lt;=ENG_OFF -&gt; Start.</t>
  </si>
  <si>
    <t>SwHLR02, SwHLR09</t>
  </si>
  <si>
    <t>SwLLR23</t>
  </si>
  <si>
    <t>Hybrid -&gt; ICE</t>
  </si>
  <si>
    <t>mode=Hybrid AND (P_dem&lt;=PDEM_HYB_LOW OR SOC&lt;SOC_LOW) -&gt; ICE.</t>
  </si>
  <si>
    <t>NfHLR01</t>
  </si>
  <si>
    <t>Non-Functional</t>
  </si>
  <si>
    <t>Periodic Execution and Sample Time</t>
  </si>
  <si>
    <t>Software executes at 0.1 s fixed rate and resolves next mode within the same sample period.</t>
  </si>
  <si>
    <t>NfHLR02</t>
  </si>
  <si>
    <t>Transition Stability and Hysteresis Preservation</t>
  </si>
  <si>
    <t>Preserve hysteresis at SOC (SOC_EV_IN/OUT) and engine-speed (ENG_ON/OFF) boundaries.</t>
  </si>
  <si>
    <t>NfHLR03</t>
  </si>
  <si>
    <t>Static Allocation and Bounded State Storage</t>
  </si>
  <si>
    <t>Use fixed-size pre-allocated storage (no dynamic alloc / recursion / VLA).</t>
  </si>
  <si>
    <t>NfHLR04</t>
  </si>
  <si>
    <t>Deterministic Outputs and Reproducibility</t>
  </si>
  <si>
    <t>Same initial mode + same inputs -&gt; same output sequence across repeated runs.</t>
  </si>
  <si>
    <t>TC ID</t>
  </si>
  <si>
    <t>Req ID (primary)</t>
  </si>
  <si>
    <t>Code File</t>
  </si>
  <si>
    <t>Code Function</t>
  </si>
  <si>
    <t>Code Lines</t>
  </si>
  <si>
    <t>Test File</t>
  </si>
  <si>
    <t>Test Function</t>
  </si>
  <si>
    <t>Test Line</t>
  </si>
  <si>
    <t>Initial Mode</t>
  </si>
  <si>
    <t>speed [km/h]</t>
  </si>
  <si>
    <t>P_dem [kW]</t>
  </si>
  <si>
    <t>SOC [-]</t>
  </si>
  <si>
    <t>wEng [rpm]</t>
  </si>
  <si>
    <t>Expected Mode</t>
  </si>
  <si>
    <t>Exp Mot_Enable</t>
  </si>
  <si>
    <t>Exp Gen_Enable</t>
  </si>
  <si>
    <t>Exp ICE_Enable</t>
  </si>
  <si>
    <t>Description / Rationale</t>
  </si>
  <si>
    <t>tc_0001</t>
  </si>
  <si>
    <t>ModeLogic_Init</t>
  </si>
  <si>
    <t>355-362</t>
  </si>
  <si>
    <t>(Init)</t>
  </si>
  <si>
    <t>MODE_STANDSTILL</t>
  </si>
  <si>
    <t>Call ModeLogic_Init() on fresh state. Verify current_mode = MODE_STANDSTILL and outputs {0,0,0} after first Step with neutral inputs.</t>
  </si>
  <si>
    <t>tc_0002</t>
  </si>
  <si>
    <t>map_outputs</t>
  </si>
  <si>
    <t>307-353</t>
  </si>
  <si>
    <t>MODE_EV</t>
  </si>
  <si>
    <t>Neutral inputs keep EV. Verify output mapping {Mot=1, Gen=0, ICE=0}. Run variants for each mode (STANDSTILL/EV/REGENB/START/ICE/HYBRID).</t>
  </si>
  <si>
    <t>tc_0003</t>
  </si>
  <si>
    <t>ModeLogic_Step (default)</t>
  </si>
  <si>
    <t>364-405</t>
  </si>
  <si>
    <t>(invalid=99)</t>
  </si>
  <si>
    <t>Force state-&gt;current_mode to invalid value (99). Step must fall to default branch -&gt; MODE_STANDSTILL, outputs {0,0,0}.</t>
  </si>
  <si>
    <t>tc_0004</t>
  </si>
  <si>
    <t>handle_standstill</t>
  </si>
  <si>
    <t>55-76</t>
  </si>
  <si>
    <t>speed&gt;SPEED_STOP, speed&lt;=SPEED_EV_MAX, SOC&gt;=SOC_EV_IN. Highest priority exit from Standstill.</t>
  </si>
  <si>
    <t>tc_0005</t>
  </si>
  <si>
    <t>MODE_START</t>
  </si>
  <si>
    <t>speed&gt;SPEED_EV_MAX forces Start (EV window invalid by speed).</t>
  </si>
  <si>
    <t>tc_0006</t>
  </si>
  <si>
    <t>SOC&lt;SOC_EV_IN forces Start (EV window invalid by charge).</t>
  </si>
  <si>
    <t>tc_0007</t>
  </si>
  <si>
    <t>handle_ev</t>
  </si>
  <si>
    <t>98-124</t>
  </si>
  <si>
    <t>MODE_REGENB</t>
  </si>
  <si>
    <t>speed&gt;SPEED_REGEN and P_dem&lt;=PDEM_REGEN. Highest-priority EV exit.</t>
  </si>
  <si>
    <t>tc_0008</t>
  </si>
  <si>
    <t>speed&gt;SPEED_EV_MAX pushes EV into Motion_mode_ICE (Start).</t>
  </si>
  <si>
    <t>tc_0009</t>
  </si>
  <si>
    <t>speed&lt;=SPEED_STOP with neutral P_dem -&gt; Standstill.</t>
  </si>
  <si>
    <t>tc_0010</t>
  </si>
  <si>
    <t>motion_ice_common_exit</t>
  </si>
  <si>
    <t>167-191</t>
  </si>
  <si>
    <t>wEng&gt;ENG_ON and regen condition -&gt; Motion_mode_ICE external exit to RegenB from Start branch.</t>
  </si>
  <si>
    <t>tc_0011</t>
  </si>
  <si>
    <t>handle_start</t>
  </si>
  <si>
    <t>214-239</t>
  </si>
  <si>
    <t>MODE_HYBRID</t>
  </si>
  <si>
    <t>wEng&gt;ENG_ON, SOC&gt;=SOC_MID, speed&gt;SPEED_EV_MAX -&gt; internal Start-&gt;Hybrid.</t>
  </si>
  <si>
    <t>tc_0012</t>
  </si>
  <si>
    <t>internal_motion_ice_reset</t>
  </si>
  <si>
    <t>196-207</t>
  </si>
  <si>
    <t>MODE_ICE</t>
  </si>
  <si>
    <t>wEng&lt;=ENG_OFF -&gt; engine off, ICE falls back to Start.</t>
  </si>
  <si>
    <t>tc_0013</t>
  </si>
  <si>
    <t>handle_hybrid</t>
  </si>
  <si>
    <t>279-303</t>
  </si>
  <si>
    <t>SOC&lt;SOC_LOW -&gt; Hybrid falls to ICE.</t>
  </si>
  <si>
    <t>tc_0014</t>
  </si>
  <si>
    <t>Hysteresis: SOC=0.36 is below entry (0.37) but above exit (0.35). Should remain in EV.</t>
  </si>
  <si>
    <t>tc_0015</t>
  </si>
  <si>
    <t>ModeLogic_Step</t>
  </si>
  <si>
    <t>sequence</t>
  </si>
  <si>
    <t>Replay same input sequence twice from the same initial mode; assert identical mode/output trace on both runs.</t>
  </si>
  <si>
    <t>tc_0016</t>
  </si>
  <si>
    <t>handle_regenb</t>
  </si>
  <si>
    <t>132-158</t>
  </si>
  <si>
    <t>(to be authored)</t>
  </si>
  <si>
    <t>tc_0017</t>
  </si>
  <si>
    <t>tc_0018</t>
  </si>
  <si>
    <t>tc_0019</t>
  </si>
  <si>
    <t>tc_0020</t>
  </si>
  <si>
    <t>tc_0021</t>
  </si>
  <si>
    <t>tc_0022</t>
  </si>
  <si>
    <t>tc_0023</t>
  </si>
  <si>
    <t>tc_0024</t>
  </si>
  <si>
    <t>tc_0025</t>
  </si>
  <si>
    <t>tc_0026</t>
  </si>
  <si>
    <t>tc_0027</t>
  </si>
  <si>
    <t>tc_0028</t>
  </si>
  <si>
    <t>handle_ice</t>
  </si>
  <si>
    <t>247-271</t>
  </si>
  <si>
    <t>tc_0029</t>
  </si>
  <si>
    <t>tc_0030</t>
  </si>
  <si>
    <t>ModeLogic_Step (switch)</t>
  </si>
  <si>
    <t>tc_0031</t>
  </si>
  <si>
    <t>map_outputs (all modes)</t>
  </si>
  <si>
    <t>tc_0032</t>
  </si>
  <si>
    <t>calibrations (mode_logic_team.h)</t>
  </si>
  <si>
    <t>26-41</t>
  </si>
  <si>
    <t>tc_0033</t>
  </si>
  <si>
    <t>tc_0034</t>
  </si>
  <si>
    <t>tc_0035</t>
  </si>
  <si>
    <t>tc_0036</t>
  </si>
  <si>
    <t>tc_0037</t>
  </si>
  <si>
    <t>tc_0038</t>
  </si>
  <si>
    <t>Person D + E</t>
  </si>
  <si>
    <t>tc_0039</t>
  </si>
  <si>
    <t>tc_0040</t>
  </si>
  <si>
    <t>n/a</t>
  </si>
  <si>
    <t>(scheduler integration)</t>
  </si>
  <si>
    <t>tc_0041</t>
  </si>
  <si>
    <t>(static analysis)</t>
  </si>
  <si>
    <t>Code Element</t>
  </si>
  <si>
    <t>File</t>
  </si>
  <si>
    <t>Line Number</t>
  </si>
  <si>
    <t>Verification Criteria</t>
  </si>
  <si>
    <t>Test Case</t>
  </si>
  <si>
    <t>Remarks</t>
  </si>
  <si>
    <t>Executed by</t>
  </si>
  <si>
    <t>Exp Mode</t>
  </si>
  <si>
    <t>Act Mode</t>
  </si>
  <si>
    <t>Act Mot_Enable</t>
  </si>
  <si>
    <t>Act Gen_Enable</t>
  </si>
  <si>
    <t>Act ICE_Enable</t>
  </si>
  <si>
    <t>Status (auto)</t>
  </si>
  <si>
    <t>Evidence / Notes</t>
  </si>
  <si>
    <t>Coverage &amp; Test Execution Summary</t>
  </si>
  <si>
    <t>Requirements Coverage</t>
  </si>
  <si>
    <t>Total Requirements</t>
  </si>
  <si>
    <t>Requirements Covered</t>
  </si>
  <si>
    <t>Requirements Not Covered</t>
  </si>
  <si>
    <t>Coverage %</t>
  </si>
  <si>
    <t>Coverage by Requirement Type</t>
  </si>
  <si>
    <t>Total</t>
  </si>
  <si>
    <t>Covered</t>
  </si>
  <si>
    <t>Not Covered</t>
  </si>
  <si>
    <t>Total Test Cases authored</t>
  </si>
  <si>
    <t>Executed (PASS)</t>
  </si>
  <si>
    <t>Executed (FAIL)</t>
  </si>
  <si>
    <t>Not Executed</t>
  </si>
  <si>
    <t>Blocked</t>
  </si>
  <si>
    <t>Pass Rate</t>
  </si>
  <si>
    <t xml:space="preserve">0.4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</si>
</sst>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b/>
      <sz val="11"/>
      <name val="Arial"/>
    </font>
    <font>
      <sz val="10"/>
      <name val="Arial"/>
    </font>
    <font>
      <b/>
      <sz val="11"/>
      <color rgb="FF1F4E78"/>
      <name val="Arial"/>
    </font>
    <font>
      <b/>
      <sz val="10"/>
      <name val="Arial"/>
    </font>
    <font>
      <b/>
      <sz val="11"/>
      <color rgb="FFFFFFFF"/>
      <name val="Arial"/>
    </font>
    <font>
      <i/>
      <sz val="10"/>
      <color rgb="FF595959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4" fillId="2" borderId="0" xfId="0" applyFont="1" applyFill="1"/>
    <xf numFmtId="0" fontId="1" fillId="0" borderId="0" xfId="0" applyFont="1"/>
  </cellXfs>
  <cellStyles count="1">
    <cellStyle name="Normal" xfId="0" builtinId="0"/>
  </cellStyles>
  <dxfs count="8"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6"/>
  <sheetViews>
    <sheetView showGridLines="0" tabSelected="1" workbookViewId="0">
      <selection activeCell="I16" sqref="I16"/>
    </sheetView>
  </sheetViews>
  <sheetFormatPr defaultRowHeight="14.4" x14ac:dyDescent="0.3"/>
  <cols>
    <col min="1" max="1" width="3" customWidth="1"/>
    <col min="2" max="2" width="22" customWidth="1"/>
    <col min="3" max="3" width="40" customWidth="1"/>
    <col min="4" max="7" width="20" customWidth="1"/>
  </cols>
  <sheetData>
    <row r="2" spans="2:7" ht="21" x14ac:dyDescent="0.4">
      <c r="B2" s="17" t="s">
        <v>0</v>
      </c>
      <c r="C2" s="15"/>
      <c r="D2" s="15"/>
      <c r="E2" s="15"/>
      <c r="F2" s="15"/>
    </row>
    <row r="4" spans="2:7" x14ac:dyDescent="0.3">
      <c r="B4" s="1" t="s">
        <v>1</v>
      </c>
      <c r="C4" s="14" t="s">
        <v>2</v>
      </c>
      <c r="D4" s="15"/>
      <c r="E4" s="15"/>
      <c r="F4" s="15"/>
      <c r="G4" s="15"/>
    </row>
    <row r="5" spans="2:7" x14ac:dyDescent="0.3">
      <c r="B5" s="1" t="s">
        <v>3</v>
      </c>
      <c r="C5" s="14" t="s">
        <v>4</v>
      </c>
      <c r="D5" s="15"/>
      <c r="E5" s="15"/>
      <c r="F5" s="15"/>
      <c r="G5" s="15"/>
    </row>
    <row r="6" spans="2:7" x14ac:dyDescent="0.3">
      <c r="B6" s="1" t="s">
        <v>5</v>
      </c>
      <c r="C6" s="14" t="s">
        <v>6</v>
      </c>
      <c r="D6" s="15"/>
      <c r="E6" s="15"/>
      <c r="F6" s="15"/>
      <c r="G6" s="15"/>
    </row>
    <row r="7" spans="2:7" x14ac:dyDescent="0.3">
      <c r="B7" s="1" t="s">
        <v>7</v>
      </c>
      <c r="C7" s="14" t="s">
        <v>8</v>
      </c>
      <c r="D7" s="15"/>
      <c r="E7" s="15"/>
      <c r="F7" s="15"/>
      <c r="G7" s="15"/>
    </row>
    <row r="8" spans="2:7" x14ac:dyDescent="0.3">
      <c r="B8" s="1" t="s">
        <v>9</v>
      </c>
      <c r="C8" s="14"/>
      <c r="D8" s="15"/>
      <c r="E8" s="15"/>
      <c r="F8" s="15"/>
      <c r="G8" s="15"/>
    </row>
    <row r="9" spans="2:7" x14ac:dyDescent="0.3">
      <c r="B9" s="1" t="s">
        <v>10</v>
      </c>
      <c r="C9" s="14" t="s">
        <v>11</v>
      </c>
      <c r="D9" s="15"/>
      <c r="E9" s="15"/>
      <c r="F9" s="15"/>
      <c r="G9" s="15"/>
    </row>
    <row r="10" spans="2:7" x14ac:dyDescent="0.3">
      <c r="B10" s="1" t="s">
        <v>12</v>
      </c>
      <c r="C10" s="14" t="s">
        <v>332</v>
      </c>
      <c r="D10" s="15"/>
      <c r="E10" s="15"/>
      <c r="F10" s="15"/>
      <c r="G10" s="15"/>
    </row>
    <row r="11" spans="2:7" x14ac:dyDescent="0.3">
      <c r="B11" s="1" t="s">
        <v>13</v>
      </c>
      <c r="C11" s="14" t="s">
        <v>14</v>
      </c>
      <c r="D11" s="15"/>
      <c r="E11" s="15"/>
      <c r="F11" s="15"/>
      <c r="G11" s="15"/>
    </row>
    <row r="12" spans="2:7" x14ac:dyDescent="0.3">
      <c r="B12" s="1" t="s">
        <v>15</v>
      </c>
      <c r="C12" s="14" t="s">
        <v>16</v>
      </c>
      <c r="D12" s="15"/>
      <c r="E12" s="15"/>
      <c r="F12" s="15"/>
      <c r="G12" s="15"/>
    </row>
    <row r="14" spans="2:7" x14ac:dyDescent="0.3">
      <c r="B14" s="16" t="s">
        <v>17</v>
      </c>
      <c r="C14" s="15"/>
      <c r="D14" s="15"/>
      <c r="E14" s="15"/>
      <c r="F14" s="15"/>
      <c r="G14" s="15"/>
    </row>
    <row r="15" spans="2:7" x14ac:dyDescent="0.3">
      <c r="B15" s="2" t="s">
        <v>7</v>
      </c>
      <c r="C15" s="14" t="s">
        <v>18</v>
      </c>
      <c r="D15" s="15"/>
      <c r="E15" s="15"/>
      <c r="F15" s="15"/>
      <c r="G15" s="15"/>
    </row>
    <row r="16" spans="2:7" x14ac:dyDescent="0.3">
      <c r="B16" s="2" t="s">
        <v>19</v>
      </c>
      <c r="C16" s="14" t="s">
        <v>20</v>
      </c>
      <c r="D16" s="15"/>
      <c r="E16" s="15"/>
      <c r="F16" s="15"/>
      <c r="G16" s="15"/>
    </row>
    <row r="17" spans="2:7" x14ac:dyDescent="0.3">
      <c r="B17" s="2" t="s">
        <v>21</v>
      </c>
      <c r="C17" s="14" t="s">
        <v>22</v>
      </c>
      <c r="D17" s="15"/>
      <c r="E17" s="15"/>
      <c r="F17" s="15"/>
      <c r="G17" s="15"/>
    </row>
    <row r="18" spans="2:7" x14ac:dyDescent="0.3">
      <c r="B18" s="2" t="s">
        <v>23</v>
      </c>
      <c r="C18" s="14" t="s">
        <v>24</v>
      </c>
      <c r="D18" s="15"/>
      <c r="E18" s="15"/>
      <c r="F18" s="15"/>
      <c r="G18" s="15"/>
    </row>
    <row r="19" spans="2:7" x14ac:dyDescent="0.3">
      <c r="B19" s="2" t="s">
        <v>25</v>
      </c>
      <c r="C19" s="14" t="s">
        <v>26</v>
      </c>
      <c r="D19" s="15"/>
      <c r="E19" s="15"/>
      <c r="F19" s="15"/>
      <c r="G19" s="15"/>
    </row>
    <row r="21" spans="2:7" x14ac:dyDescent="0.3">
      <c r="B21" s="16" t="s">
        <v>27</v>
      </c>
      <c r="C21" s="15"/>
      <c r="D21" s="15"/>
      <c r="E21" s="15"/>
      <c r="F21" s="15"/>
      <c r="G21" s="15"/>
    </row>
    <row r="22" spans="2:7" x14ac:dyDescent="0.3">
      <c r="B22" s="3" t="s">
        <v>28</v>
      </c>
      <c r="C22" s="14" t="s">
        <v>29</v>
      </c>
      <c r="D22" s="15"/>
      <c r="E22" s="15"/>
      <c r="F22" s="15"/>
      <c r="G22" s="15"/>
    </row>
    <row r="23" spans="2:7" x14ac:dyDescent="0.3">
      <c r="B23" s="3" t="s">
        <v>30</v>
      </c>
      <c r="C23" s="14" t="s">
        <v>31</v>
      </c>
      <c r="D23" s="15"/>
      <c r="E23" s="15"/>
      <c r="F23" s="15"/>
      <c r="G23" s="15"/>
    </row>
    <row r="24" spans="2:7" x14ac:dyDescent="0.3">
      <c r="B24" s="3" t="s">
        <v>32</v>
      </c>
      <c r="C24" s="14" t="s">
        <v>33</v>
      </c>
      <c r="D24" s="15"/>
      <c r="E24" s="15"/>
      <c r="F24" s="15"/>
      <c r="G24" s="15"/>
    </row>
    <row r="25" spans="2:7" x14ac:dyDescent="0.3">
      <c r="B25" s="3" t="s">
        <v>34</v>
      </c>
      <c r="C25" s="14" t="s">
        <v>35</v>
      </c>
      <c r="D25" s="15"/>
      <c r="E25" s="15"/>
      <c r="F25" s="15"/>
      <c r="G25" s="15"/>
    </row>
    <row r="26" spans="2:7" x14ac:dyDescent="0.3">
      <c r="B26" s="3" t="s">
        <v>36</v>
      </c>
      <c r="C26" s="14" t="s">
        <v>37</v>
      </c>
      <c r="D26" s="15"/>
      <c r="E26" s="15"/>
      <c r="F26" s="15"/>
      <c r="G26" s="15"/>
    </row>
  </sheetData>
  <mergeCells count="22">
    <mergeCell ref="C26:G26"/>
    <mergeCell ref="C4:G4"/>
    <mergeCell ref="B2:F2"/>
    <mergeCell ref="C10:G10"/>
    <mergeCell ref="C16:G16"/>
    <mergeCell ref="C25:G25"/>
    <mergeCell ref="C22:G22"/>
    <mergeCell ref="C9:G9"/>
    <mergeCell ref="C12:G12"/>
    <mergeCell ref="C11:G11"/>
    <mergeCell ref="C23:G23"/>
    <mergeCell ref="C8:G8"/>
    <mergeCell ref="C17:G17"/>
    <mergeCell ref="C7:G7"/>
    <mergeCell ref="C19:G19"/>
    <mergeCell ref="B21:G21"/>
    <mergeCell ref="C6:G6"/>
    <mergeCell ref="B14:G14"/>
    <mergeCell ref="C24:G24"/>
    <mergeCell ref="C15:G15"/>
    <mergeCell ref="C5:G5"/>
    <mergeCell ref="C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pane ySplit="1" topLeftCell="A3" activePane="bottomLeft" state="frozen"/>
      <selection pane="bottomLeft" activeCell="D37" sqref="D37"/>
    </sheetView>
  </sheetViews>
  <sheetFormatPr defaultRowHeight="14.4" x14ac:dyDescent="0.3"/>
  <cols>
    <col min="1" max="1" width="14" customWidth="1"/>
    <col min="2" max="2" width="16" customWidth="1"/>
    <col min="3" max="3" width="40" customWidth="1"/>
    <col min="4" max="4" width="60" customWidth="1"/>
    <col min="5" max="5" width="20" customWidth="1"/>
    <col min="6" max="6" width="22" customWidth="1"/>
    <col min="7" max="7" width="12" customWidth="1"/>
    <col min="8" max="8" width="14" customWidth="1"/>
    <col min="9" max="9" width="16" customWidth="1"/>
  </cols>
  <sheetData>
    <row r="1" spans="1:9" ht="31.95" customHeight="1" x14ac:dyDescent="0.3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</row>
    <row r="2" spans="1:9" ht="37.950000000000003" customHeight="1" x14ac:dyDescent="0.3">
      <c r="A2" s="5" t="s">
        <v>47</v>
      </c>
      <c r="B2" s="6" t="s">
        <v>48</v>
      </c>
      <c r="C2" s="5" t="s">
        <v>49</v>
      </c>
      <c r="D2" s="6" t="s">
        <v>50</v>
      </c>
      <c r="E2" s="6" t="s">
        <v>51</v>
      </c>
      <c r="F2" s="5" t="s">
        <v>52</v>
      </c>
      <c r="G2" s="5" t="str">
        <f>IF(COUNTIF('Traceability Matrix'!A:A,A2)&gt;0,"YES","NO")</f>
        <v>YES</v>
      </c>
      <c r="H2" s="5">
        <f>COUNTIF('Traceability Matrix'!A:A,A2)</f>
        <v>2</v>
      </c>
      <c r="I2" s="5" t="str">
        <f>IF(H2=0,"NOT COVERED",IF(SUMPRODUCT(('Traceability Matrix'!$A$2:$A$70=A2)*(IFERROR(VLOOKUP('Traceability Matrix'!$G$2:$G$70,'Test Execution'!$A:$M,13,FALSE),"")="FAIL"))&gt;0,"FAIL",IF(SUMPRODUCT(('Traceability Matrix'!$A$2:$A$70=A2)*(IFERROR(VLOOKUP('Traceability Matrix'!$G$2:$G$70,'Test Execution'!$A:$M,13,FALSE),"")="PASS"))=H2,"PASS","IN PROGRESS")))</f>
        <v>IN PROGRESS</v>
      </c>
    </row>
    <row r="3" spans="1:9" ht="37.950000000000003" customHeight="1" x14ac:dyDescent="0.3">
      <c r="A3" s="5" t="s">
        <v>53</v>
      </c>
      <c r="B3" s="6" t="s">
        <v>48</v>
      </c>
      <c r="C3" s="5" t="s">
        <v>54</v>
      </c>
      <c r="D3" s="6" t="s">
        <v>55</v>
      </c>
      <c r="E3" s="6" t="s">
        <v>51</v>
      </c>
      <c r="F3" s="5" t="s">
        <v>52</v>
      </c>
      <c r="G3" s="5" t="str">
        <f>IF(COUNTIF('Traceability Matrix'!A:A,A3)&gt;0,"YES","NO")</f>
        <v>YES</v>
      </c>
      <c r="H3" s="5">
        <f>COUNTIF('Traceability Matrix'!A:A,A3)</f>
        <v>2</v>
      </c>
      <c r="I3" s="5" t="str">
        <f>IF(H3=0,"NOT COVERED",IF(SUMPRODUCT(('Traceability Matrix'!$A$2:$A$70=A3)*(IFERROR(VLOOKUP('Traceability Matrix'!$G$2:$G$70,'Test Execution'!$A:$M,13,FALSE),"")="FAIL"))&gt;0,"FAIL",IF(SUMPRODUCT(('Traceability Matrix'!$A$2:$A$70=A3)*(IFERROR(VLOOKUP('Traceability Matrix'!$G$2:$G$70,'Test Execution'!$A:$M,13,FALSE),"")="PASS"))=H3,"PASS","IN PROGRESS")))</f>
        <v>IN PROGRESS</v>
      </c>
    </row>
    <row r="4" spans="1:9" ht="37.950000000000003" customHeight="1" x14ac:dyDescent="0.3">
      <c r="A4" s="5" t="s">
        <v>56</v>
      </c>
      <c r="B4" s="6" t="s">
        <v>48</v>
      </c>
      <c r="C4" s="5" t="s">
        <v>57</v>
      </c>
      <c r="D4" s="6" t="s">
        <v>58</v>
      </c>
      <c r="E4" s="6" t="s">
        <v>51</v>
      </c>
      <c r="F4" s="5" t="s">
        <v>52</v>
      </c>
      <c r="G4" s="5" t="str">
        <f>IF(COUNTIF('Traceability Matrix'!A:A,A4)&gt;0,"YES","NO")</f>
        <v>YES</v>
      </c>
      <c r="H4" s="5">
        <f>COUNTIF('Traceability Matrix'!A:A,A4)</f>
        <v>2</v>
      </c>
      <c r="I4" s="5" t="str">
        <f>IF(H4=0,"NOT COVERED",IF(SUMPRODUCT(('Traceability Matrix'!$A$2:$A$70=A4)*(IFERROR(VLOOKUP('Traceability Matrix'!$G$2:$G$70,'Test Execution'!$A:$M,13,FALSE),"")="FAIL"))&gt;0,"FAIL",IF(SUMPRODUCT(('Traceability Matrix'!$A$2:$A$70=A4)*(IFERROR(VLOOKUP('Traceability Matrix'!$G$2:$G$70,'Test Execution'!$A:$M,13,FALSE),"")="PASS"))=H4,"PASS","IN PROGRESS")))</f>
        <v>IN PROGRESS</v>
      </c>
    </row>
    <row r="5" spans="1:9" ht="37.950000000000003" customHeight="1" x14ac:dyDescent="0.3">
      <c r="A5" s="5" t="s">
        <v>59</v>
      </c>
      <c r="B5" s="6" t="s">
        <v>60</v>
      </c>
      <c r="C5" s="5" t="s">
        <v>61</v>
      </c>
      <c r="D5" s="6" t="s">
        <v>62</v>
      </c>
      <c r="E5" s="6" t="s">
        <v>47</v>
      </c>
      <c r="F5" s="5" t="s">
        <v>52</v>
      </c>
      <c r="G5" s="5" t="str">
        <f>IF(COUNTIF('Traceability Matrix'!A:A,A5)&gt;0,"YES","NO")</f>
        <v>YES</v>
      </c>
      <c r="H5" s="5">
        <f>COUNTIF('Traceability Matrix'!A:A,A5)</f>
        <v>1</v>
      </c>
      <c r="I5" s="5" t="str">
        <f>IF(H5=0,"NOT COVERED",IF(SUMPRODUCT(('Traceability Matrix'!$A$2:$A$70=A5)*(IFERROR(VLOOKUP('Traceability Matrix'!$G$2:$G$70,'Test Execution'!$A:$M,13,FALSE),"")="FAIL"))&gt;0,"FAIL",IF(SUMPRODUCT(('Traceability Matrix'!$A$2:$A$70=A5)*(IFERROR(VLOOKUP('Traceability Matrix'!$G$2:$G$70,'Test Execution'!$A:$M,13,FALSE),"")="PASS"))=H5,"PASS","IN PROGRESS")))</f>
        <v>IN PROGRESS</v>
      </c>
    </row>
    <row r="6" spans="1:9" ht="37.950000000000003" customHeight="1" x14ac:dyDescent="0.3">
      <c r="A6" s="5" t="s">
        <v>63</v>
      </c>
      <c r="B6" s="6" t="s">
        <v>60</v>
      </c>
      <c r="C6" s="5" t="s">
        <v>64</v>
      </c>
      <c r="D6" s="6" t="s">
        <v>65</v>
      </c>
      <c r="E6" s="6" t="s">
        <v>53</v>
      </c>
      <c r="F6" s="5" t="s">
        <v>52</v>
      </c>
      <c r="G6" s="5" t="str">
        <f>IF(COUNTIF('Traceability Matrix'!A:A,A6)&gt;0,"YES","NO")</f>
        <v>YES</v>
      </c>
      <c r="H6" s="5">
        <f>COUNTIF('Traceability Matrix'!A:A,A6)</f>
        <v>1</v>
      </c>
      <c r="I6" s="5" t="str">
        <f>IF(H6=0,"NOT COVERED",IF(SUMPRODUCT(('Traceability Matrix'!$A$2:$A$70=A6)*(IFERROR(VLOOKUP('Traceability Matrix'!$G$2:$G$70,'Test Execution'!$A:$M,13,FALSE),"")="FAIL"))&gt;0,"FAIL",IF(SUMPRODUCT(('Traceability Matrix'!$A$2:$A$70=A6)*(IFERROR(VLOOKUP('Traceability Matrix'!$G$2:$G$70,'Test Execution'!$A:$M,13,FALSE),"")="PASS"))=H6,"PASS","IN PROGRESS")))</f>
        <v>IN PROGRESS</v>
      </c>
    </row>
    <row r="7" spans="1:9" ht="37.950000000000003" customHeight="1" x14ac:dyDescent="0.3">
      <c r="A7" s="5" t="s">
        <v>66</v>
      </c>
      <c r="B7" s="6" t="s">
        <v>60</v>
      </c>
      <c r="C7" s="5" t="s">
        <v>67</v>
      </c>
      <c r="D7" s="6" t="s">
        <v>68</v>
      </c>
      <c r="E7" s="6" t="s">
        <v>69</v>
      </c>
      <c r="F7" s="5" t="s">
        <v>70</v>
      </c>
      <c r="G7" s="5" t="str">
        <f>IF(COUNTIF('Traceability Matrix'!A:A,A7)&gt;0,"YES","NO")</f>
        <v>YES</v>
      </c>
      <c r="H7" s="5">
        <f>COUNTIF('Traceability Matrix'!A:A,A7)</f>
        <v>4</v>
      </c>
      <c r="I7" s="5" t="str">
        <f>IF(H7=0,"NOT COVERED",IF(SUMPRODUCT(('Traceability Matrix'!$A$2:$A$70=A7)*(IFERROR(VLOOKUP('Traceability Matrix'!$G$2:$G$70,'Test Execution'!$A:$M,13,FALSE),"")="FAIL"))&gt;0,"FAIL",IF(SUMPRODUCT(('Traceability Matrix'!$A$2:$A$70=A7)*(IFERROR(VLOOKUP('Traceability Matrix'!$G$2:$G$70,'Test Execution'!$A:$M,13,FALSE),"")="PASS"))=H7,"PASS","IN PROGRESS")))</f>
        <v>IN PROGRESS</v>
      </c>
    </row>
    <row r="8" spans="1:9" ht="37.950000000000003" customHeight="1" x14ac:dyDescent="0.3">
      <c r="A8" s="5" t="s">
        <v>71</v>
      </c>
      <c r="B8" s="6" t="s">
        <v>60</v>
      </c>
      <c r="C8" s="5" t="s">
        <v>72</v>
      </c>
      <c r="D8" s="6" t="s">
        <v>73</v>
      </c>
      <c r="E8" s="6" t="s">
        <v>69</v>
      </c>
      <c r="F8" s="5" t="s">
        <v>74</v>
      </c>
      <c r="G8" s="5" t="str">
        <f>IF(COUNTIF('Traceability Matrix'!A:A,A8)&gt;0,"YES","NO")</f>
        <v>YES</v>
      </c>
      <c r="H8" s="5">
        <f>COUNTIF('Traceability Matrix'!A:A,A8)</f>
        <v>5</v>
      </c>
      <c r="I8" s="5" t="str">
        <f>IF(H8=0,"NOT COVERED",IF(SUMPRODUCT(('Traceability Matrix'!$A$2:$A$70=A8)*(IFERROR(VLOOKUP('Traceability Matrix'!$G$2:$G$70,'Test Execution'!$A:$M,13,FALSE),"")="FAIL"))&gt;0,"FAIL",IF(SUMPRODUCT(('Traceability Matrix'!$A$2:$A$70=A8)*(IFERROR(VLOOKUP('Traceability Matrix'!$G$2:$G$70,'Test Execution'!$A:$M,13,FALSE),"")="PASS"))=H8,"PASS","IN PROGRESS")))</f>
        <v>IN PROGRESS</v>
      </c>
    </row>
    <row r="9" spans="1:9" ht="37.950000000000003" customHeight="1" x14ac:dyDescent="0.3">
      <c r="A9" s="5" t="s">
        <v>75</v>
      </c>
      <c r="B9" s="6" t="s">
        <v>60</v>
      </c>
      <c r="C9" s="5" t="s">
        <v>76</v>
      </c>
      <c r="D9" s="6" t="s">
        <v>77</v>
      </c>
      <c r="E9" s="6" t="s">
        <v>69</v>
      </c>
      <c r="F9" s="5" t="s">
        <v>78</v>
      </c>
      <c r="G9" s="5" t="str">
        <f>IF(COUNTIF('Traceability Matrix'!A:A,A9)&gt;0,"YES","NO")</f>
        <v>YES</v>
      </c>
      <c r="H9" s="5">
        <f>COUNTIF('Traceability Matrix'!A:A,A9)</f>
        <v>4</v>
      </c>
      <c r="I9" s="5" t="str">
        <f>IF(H9=0,"NOT COVERED",IF(SUMPRODUCT(('Traceability Matrix'!$A$2:$A$70=A9)*(IFERROR(VLOOKUP('Traceability Matrix'!$G$2:$G$70,'Test Execution'!$A:$M,13,FALSE),"")="FAIL"))&gt;0,"FAIL",IF(SUMPRODUCT(('Traceability Matrix'!$A$2:$A$70=A9)*(IFERROR(VLOOKUP('Traceability Matrix'!$G$2:$G$70,'Test Execution'!$A:$M,13,FALSE),"")="PASS"))=H9,"PASS","IN PROGRESS")))</f>
        <v>IN PROGRESS</v>
      </c>
    </row>
    <row r="10" spans="1:9" ht="37.950000000000003" customHeight="1" x14ac:dyDescent="0.3">
      <c r="A10" s="5" t="s">
        <v>79</v>
      </c>
      <c r="B10" s="6" t="s">
        <v>60</v>
      </c>
      <c r="C10" s="5" t="s">
        <v>80</v>
      </c>
      <c r="D10" s="6" t="s">
        <v>81</v>
      </c>
      <c r="E10" s="6" t="s">
        <v>69</v>
      </c>
      <c r="F10" s="5" t="s">
        <v>82</v>
      </c>
      <c r="G10" s="5" t="str">
        <f>IF(COUNTIF('Traceability Matrix'!A:A,A10)&gt;0,"YES","NO")</f>
        <v>YES</v>
      </c>
      <c r="H10" s="5">
        <f>COUNTIF('Traceability Matrix'!A:A,A10)</f>
        <v>10</v>
      </c>
      <c r="I10" s="5" t="str">
        <f>IF(H10=0,"NOT COVERED",IF(SUMPRODUCT(('Traceability Matrix'!$A$2:$A$70=A10)*(IFERROR(VLOOKUP('Traceability Matrix'!$G$2:$G$70,'Test Execution'!$A:$M,13,FALSE),"")="FAIL"))&gt;0,"FAIL",IF(SUMPRODUCT(('Traceability Matrix'!$A$2:$A$70=A10)*(IFERROR(VLOOKUP('Traceability Matrix'!$G$2:$G$70,'Test Execution'!$A:$M,13,FALSE),"")="PASS"))=H10,"PASS","IN PROGRESS")))</f>
        <v>IN PROGRESS</v>
      </c>
    </row>
    <row r="11" spans="1:9" ht="37.950000000000003" customHeight="1" x14ac:dyDescent="0.3">
      <c r="A11" s="5" t="s">
        <v>83</v>
      </c>
      <c r="B11" s="6" t="s">
        <v>60</v>
      </c>
      <c r="C11" s="5" t="s">
        <v>84</v>
      </c>
      <c r="D11" s="6" t="s">
        <v>85</v>
      </c>
      <c r="E11" s="6" t="s">
        <v>69</v>
      </c>
      <c r="F11" s="5" t="s">
        <v>86</v>
      </c>
      <c r="G11" s="5" t="str">
        <f>IF(COUNTIF('Traceability Matrix'!A:A,A11)&gt;0,"YES","NO")</f>
        <v>YES</v>
      </c>
      <c r="H11" s="5">
        <f>COUNTIF('Traceability Matrix'!A:A,A11)</f>
        <v>3</v>
      </c>
      <c r="I11" s="5" t="str">
        <f>IF(H11=0,"NOT COVERED",IF(SUMPRODUCT(('Traceability Matrix'!$A$2:$A$70=A11)*(IFERROR(VLOOKUP('Traceability Matrix'!$G$2:$G$70,'Test Execution'!$A:$M,13,FALSE),"")="FAIL"))&gt;0,"FAIL",IF(SUMPRODUCT(('Traceability Matrix'!$A$2:$A$70=A11)*(IFERROR(VLOOKUP('Traceability Matrix'!$G$2:$G$70,'Test Execution'!$A:$M,13,FALSE),"")="PASS"))=H11,"PASS","IN PROGRESS")))</f>
        <v>IN PROGRESS</v>
      </c>
    </row>
    <row r="12" spans="1:9" ht="37.950000000000003" customHeight="1" x14ac:dyDescent="0.3">
      <c r="A12" s="5" t="s">
        <v>87</v>
      </c>
      <c r="B12" s="6" t="s">
        <v>60</v>
      </c>
      <c r="C12" s="5" t="s">
        <v>88</v>
      </c>
      <c r="D12" s="6" t="s">
        <v>89</v>
      </c>
      <c r="E12" s="6" t="s">
        <v>69</v>
      </c>
      <c r="F12" s="5" t="s">
        <v>90</v>
      </c>
      <c r="G12" s="5" t="str">
        <f>IF(COUNTIF('Traceability Matrix'!A:A,A12)&gt;0,"YES","NO")</f>
        <v>YES</v>
      </c>
      <c r="H12" s="5">
        <f>COUNTIF('Traceability Matrix'!A:A,A12)</f>
        <v>3</v>
      </c>
      <c r="I12" s="5" t="str">
        <f>IF(H12=0,"NOT COVERED",IF(SUMPRODUCT(('Traceability Matrix'!$A$2:$A$70=A12)*(IFERROR(VLOOKUP('Traceability Matrix'!$G$2:$G$70,'Test Execution'!$A:$M,13,FALSE),"")="FAIL"))&gt;0,"FAIL",IF(SUMPRODUCT(('Traceability Matrix'!$A$2:$A$70=A12)*(IFERROR(VLOOKUP('Traceability Matrix'!$G$2:$G$70,'Test Execution'!$A:$M,13,FALSE),"")="PASS"))=H12,"PASS","IN PROGRESS")))</f>
        <v>IN PROGRESS</v>
      </c>
    </row>
    <row r="13" spans="1:9" ht="37.950000000000003" customHeight="1" x14ac:dyDescent="0.3">
      <c r="A13" s="5" t="s">
        <v>91</v>
      </c>
      <c r="B13" s="6" t="s">
        <v>60</v>
      </c>
      <c r="C13" s="5" t="s">
        <v>92</v>
      </c>
      <c r="D13" s="6" t="s">
        <v>93</v>
      </c>
      <c r="E13" s="6" t="s">
        <v>69</v>
      </c>
      <c r="F13" s="5" t="s">
        <v>90</v>
      </c>
      <c r="G13" s="5" t="str">
        <f>IF(COUNTIF('Traceability Matrix'!A:A,A13)&gt;0,"YES","NO")</f>
        <v>YES</v>
      </c>
      <c r="H13" s="5">
        <f>COUNTIF('Traceability Matrix'!A:A,A13)</f>
        <v>3</v>
      </c>
      <c r="I13" s="5" t="str">
        <f>IF(H13=0,"NOT COVERED",IF(SUMPRODUCT(('Traceability Matrix'!$A$2:$A$70=A13)*(IFERROR(VLOOKUP('Traceability Matrix'!$G$2:$G$70,'Test Execution'!$A:$M,13,FALSE),"")="FAIL"))&gt;0,"FAIL",IF(SUMPRODUCT(('Traceability Matrix'!$A$2:$A$70=A13)*(IFERROR(VLOOKUP('Traceability Matrix'!$G$2:$G$70,'Test Execution'!$A:$M,13,FALSE),"")="PASS"))=H13,"PASS","IN PROGRESS")))</f>
        <v>IN PROGRESS</v>
      </c>
    </row>
    <row r="14" spans="1:9" ht="37.950000000000003" customHeight="1" x14ac:dyDescent="0.3">
      <c r="A14" s="5" t="s">
        <v>94</v>
      </c>
      <c r="B14" s="6" t="s">
        <v>60</v>
      </c>
      <c r="C14" s="5" t="s">
        <v>95</v>
      </c>
      <c r="D14" s="6" t="s">
        <v>96</v>
      </c>
      <c r="E14" s="6" t="s">
        <v>47</v>
      </c>
      <c r="F14" s="5" t="s">
        <v>52</v>
      </c>
      <c r="G14" s="5" t="str">
        <f>IF(COUNTIF('Traceability Matrix'!A:A,A14)&gt;0,"YES","NO")</f>
        <v>YES</v>
      </c>
      <c r="H14" s="5">
        <f>COUNTIF('Traceability Matrix'!A:A,A14)</f>
        <v>1</v>
      </c>
      <c r="I14" s="5" t="str">
        <f>IF(H14=0,"NOT COVERED",IF(SUMPRODUCT(('Traceability Matrix'!$A$2:$A$70=A14)*(IFERROR(VLOOKUP('Traceability Matrix'!$G$2:$G$70,'Test Execution'!$A:$M,13,FALSE),"")="FAIL"))&gt;0,"FAIL",IF(SUMPRODUCT(('Traceability Matrix'!$A$2:$A$70=A14)*(IFERROR(VLOOKUP('Traceability Matrix'!$G$2:$G$70,'Test Execution'!$A:$M,13,FALSE),"")="PASS"))=H14,"PASS","IN PROGRESS")))</f>
        <v>IN PROGRESS</v>
      </c>
    </row>
    <row r="15" spans="1:9" ht="37.950000000000003" customHeight="1" x14ac:dyDescent="0.3">
      <c r="A15" s="5" t="s">
        <v>97</v>
      </c>
      <c r="B15" s="6" t="s">
        <v>98</v>
      </c>
      <c r="C15" s="5" t="s">
        <v>99</v>
      </c>
      <c r="D15" s="6" t="s">
        <v>100</v>
      </c>
      <c r="E15" s="6" t="s">
        <v>101</v>
      </c>
      <c r="F15" s="5" t="s">
        <v>70</v>
      </c>
      <c r="G15" s="5" t="str">
        <f>IF(COUNTIF('Traceability Matrix'!A:A,A15)&gt;0,"YES","NO")</f>
        <v>YES</v>
      </c>
      <c r="H15" s="5">
        <f>COUNTIF('Traceability Matrix'!A:A,A15)</f>
        <v>1</v>
      </c>
      <c r="I15" s="5" t="str">
        <f>IF(H15=0,"NOT COVERED",IF(SUMPRODUCT(('Traceability Matrix'!$A$2:$A$70=A15)*(IFERROR(VLOOKUP('Traceability Matrix'!$G$2:$G$70,'Test Execution'!$A:$M,13,FALSE),"")="FAIL"))&gt;0,"FAIL",IF(SUMPRODUCT(('Traceability Matrix'!$A$2:$A$70=A15)*(IFERROR(VLOOKUP('Traceability Matrix'!$G$2:$G$70,'Test Execution'!$A:$M,13,FALSE),"")="PASS"))=H15,"PASS","IN PROGRESS")))</f>
        <v>IN PROGRESS</v>
      </c>
    </row>
    <row r="16" spans="1:9" ht="37.950000000000003" customHeight="1" x14ac:dyDescent="0.3">
      <c r="A16" s="5" t="s">
        <v>102</v>
      </c>
      <c r="B16" s="6" t="s">
        <v>98</v>
      </c>
      <c r="C16" s="5" t="s">
        <v>103</v>
      </c>
      <c r="D16" s="6" t="s">
        <v>104</v>
      </c>
      <c r="E16" s="6" t="s">
        <v>101</v>
      </c>
      <c r="F16" s="5" t="s">
        <v>70</v>
      </c>
      <c r="G16" s="5" t="str">
        <f>IF(COUNTIF('Traceability Matrix'!A:A,A16)&gt;0,"YES","NO")</f>
        <v>YES</v>
      </c>
      <c r="H16" s="5">
        <f>COUNTIF('Traceability Matrix'!A:A,A16)</f>
        <v>2</v>
      </c>
      <c r="I16" s="5" t="str">
        <f>IF(H16=0,"NOT COVERED",IF(SUMPRODUCT(('Traceability Matrix'!$A$2:$A$70=A16)*(IFERROR(VLOOKUP('Traceability Matrix'!$G$2:$G$70,'Test Execution'!$A:$M,13,FALSE),"")="FAIL"))&gt;0,"FAIL",IF(SUMPRODUCT(('Traceability Matrix'!$A$2:$A$70=A16)*(IFERROR(VLOOKUP('Traceability Matrix'!$G$2:$G$70,'Test Execution'!$A:$M,13,FALSE),"")="PASS"))=H16,"PASS","IN PROGRESS")))</f>
        <v>IN PROGRESS</v>
      </c>
    </row>
    <row r="17" spans="1:9" ht="37.950000000000003" customHeight="1" x14ac:dyDescent="0.3">
      <c r="A17" s="5" t="s">
        <v>105</v>
      </c>
      <c r="B17" s="6" t="s">
        <v>98</v>
      </c>
      <c r="C17" s="5" t="s">
        <v>106</v>
      </c>
      <c r="D17" s="6" t="s">
        <v>107</v>
      </c>
      <c r="E17" s="6" t="s">
        <v>108</v>
      </c>
      <c r="F17" s="5" t="s">
        <v>74</v>
      </c>
      <c r="G17" s="5" t="str">
        <f>IF(COUNTIF('Traceability Matrix'!A:A,A17)&gt;0,"YES","NO")</f>
        <v>YES</v>
      </c>
      <c r="H17" s="5">
        <f>COUNTIF('Traceability Matrix'!A:A,A17)</f>
        <v>1</v>
      </c>
      <c r="I17" s="5" t="str">
        <f>IF(H17=0,"NOT COVERED",IF(SUMPRODUCT(('Traceability Matrix'!$A$2:$A$70=A17)*(IFERROR(VLOOKUP('Traceability Matrix'!$G$2:$G$70,'Test Execution'!$A:$M,13,FALSE),"")="FAIL"))&gt;0,"FAIL",IF(SUMPRODUCT(('Traceability Matrix'!$A$2:$A$70=A17)*(IFERROR(VLOOKUP('Traceability Matrix'!$G$2:$G$70,'Test Execution'!$A:$M,13,FALSE),"")="PASS"))=H17,"PASS","IN PROGRESS")))</f>
        <v>IN PROGRESS</v>
      </c>
    </row>
    <row r="18" spans="1:9" ht="37.950000000000003" customHeight="1" x14ac:dyDescent="0.3">
      <c r="A18" s="5" t="s">
        <v>109</v>
      </c>
      <c r="B18" s="6" t="s">
        <v>98</v>
      </c>
      <c r="C18" s="5" t="s">
        <v>110</v>
      </c>
      <c r="D18" s="6" t="s">
        <v>111</v>
      </c>
      <c r="E18" s="6" t="s">
        <v>108</v>
      </c>
      <c r="F18" s="5" t="s">
        <v>74</v>
      </c>
      <c r="G18" s="5" t="str">
        <f>IF(COUNTIF('Traceability Matrix'!A:A,A18)&gt;0,"YES","NO")</f>
        <v>YES</v>
      </c>
      <c r="H18" s="5">
        <f>COUNTIF('Traceability Matrix'!A:A,A18)</f>
        <v>1</v>
      </c>
      <c r="I18" s="5" t="str">
        <f>IF(H18=0,"NOT COVERED",IF(SUMPRODUCT(('Traceability Matrix'!$A$2:$A$70=A18)*(IFERROR(VLOOKUP('Traceability Matrix'!$G$2:$G$70,'Test Execution'!$A:$M,13,FALSE),"")="FAIL"))&gt;0,"FAIL",IF(SUMPRODUCT(('Traceability Matrix'!$A$2:$A$70=A18)*(IFERROR(VLOOKUP('Traceability Matrix'!$G$2:$G$70,'Test Execution'!$A:$M,13,FALSE),"")="PASS"))=H18,"PASS","IN PROGRESS")))</f>
        <v>IN PROGRESS</v>
      </c>
    </row>
    <row r="19" spans="1:9" ht="37.950000000000003" customHeight="1" x14ac:dyDescent="0.3">
      <c r="A19" s="5" t="s">
        <v>112</v>
      </c>
      <c r="B19" s="6" t="s">
        <v>98</v>
      </c>
      <c r="C19" s="5" t="s">
        <v>113</v>
      </c>
      <c r="D19" s="6" t="s">
        <v>114</v>
      </c>
      <c r="E19" s="6" t="s">
        <v>108</v>
      </c>
      <c r="F19" s="5" t="s">
        <v>74</v>
      </c>
      <c r="G19" s="5" t="str">
        <f>IF(COUNTIF('Traceability Matrix'!A:A,A19)&gt;0,"YES","NO")</f>
        <v>YES</v>
      </c>
      <c r="H19" s="5">
        <f>COUNTIF('Traceability Matrix'!A:A,A19)</f>
        <v>1</v>
      </c>
      <c r="I19" s="5" t="str">
        <f>IF(H19=0,"NOT COVERED",IF(SUMPRODUCT(('Traceability Matrix'!$A$2:$A$70=A19)*(IFERROR(VLOOKUP('Traceability Matrix'!$G$2:$G$70,'Test Execution'!$A:$M,13,FALSE),"")="FAIL"))&gt;0,"FAIL",IF(SUMPRODUCT(('Traceability Matrix'!$A$2:$A$70=A19)*(IFERROR(VLOOKUP('Traceability Matrix'!$G$2:$G$70,'Test Execution'!$A:$M,13,FALSE),"")="PASS"))=H19,"PASS","IN PROGRESS")))</f>
        <v>IN PROGRESS</v>
      </c>
    </row>
    <row r="20" spans="1:9" ht="37.950000000000003" customHeight="1" x14ac:dyDescent="0.3">
      <c r="A20" s="5" t="s">
        <v>115</v>
      </c>
      <c r="B20" s="6" t="s">
        <v>98</v>
      </c>
      <c r="C20" s="5" t="s">
        <v>116</v>
      </c>
      <c r="D20" s="6" t="s">
        <v>117</v>
      </c>
      <c r="E20" s="6" t="s">
        <v>118</v>
      </c>
      <c r="F20" s="5" t="s">
        <v>78</v>
      </c>
      <c r="G20" s="5" t="str">
        <f>IF(COUNTIF('Traceability Matrix'!A:A,A20)&gt;0,"YES","NO")</f>
        <v>YES</v>
      </c>
      <c r="H20" s="5">
        <f>COUNTIF('Traceability Matrix'!A:A,A20)</f>
        <v>1</v>
      </c>
      <c r="I20" s="5" t="str">
        <f>IF(H20=0,"NOT COVERED",IF(SUMPRODUCT(('Traceability Matrix'!$A$2:$A$70=A20)*(IFERROR(VLOOKUP('Traceability Matrix'!$G$2:$G$70,'Test Execution'!$A:$M,13,FALSE),"")="FAIL"))&gt;0,"FAIL",IF(SUMPRODUCT(('Traceability Matrix'!$A$2:$A$70=A20)*(IFERROR(VLOOKUP('Traceability Matrix'!$G$2:$G$70,'Test Execution'!$A:$M,13,FALSE),"")="PASS"))=H20,"PASS","IN PROGRESS")))</f>
        <v>IN PROGRESS</v>
      </c>
    </row>
    <row r="21" spans="1:9" ht="37.950000000000003" customHeight="1" x14ac:dyDescent="0.3">
      <c r="A21" s="5" t="s">
        <v>119</v>
      </c>
      <c r="B21" s="6" t="s">
        <v>98</v>
      </c>
      <c r="C21" s="5" t="s">
        <v>120</v>
      </c>
      <c r="D21" s="6" t="s">
        <v>121</v>
      </c>
      <c r="E21" s="6" t="s">
        <v>118</v>
      </c>
      <c r="F21" s="5" t="s">
        <v>78</v>
      </c>
      <c r="G21" s="5" t="str">
        <f>IF(COUNTIF('Traceability Matrix'!A:A,A21)&gt;0,"YES","NO")</f>
        <v>YES</v>
      </c>
      <c r="H21" s="5">
        <f>COUNTIF('Traceability Matrix'!A:A,A21)</f>
        <v>1</v>
      </c>
      <c r="I21" s="5" t="str">
        <f>IF(H21=0,"NOT COVERED",IF(SUMPRODUCT(('Traceability Matrix'!$A$2:$A$70=A21)*(IFERROR(VLOOKUP('Traceability Matrix'!$G$2:$G$70,'Test Execution'!$A:$M,13,FALSE),"")="FAIL"))&gt;0,"FAIL",IF(SUMPRODUCT(('Traceability Matrix'!$A$2:$A$70=A21)*(IFERROR(VLOOKUP('Traceability Matrix'!$G$2:$G$70,'Test Execution'!$A:$M,13,FALSE),"")="PASS"))=H21,"PASS","IN PROGRESS")))</f>
        <v>IN PROGRESS</v>
      </c>
    </row>
    <row r="22" spans="1:9" ht="37.950000000000003" customHeight="1" x14ac:dyDescent="0.3">
      <c r="A22" s="5" t="s">
        <v>122</v>
      </c>
      <c r="B22" s="6" t="s">
        <v>98</v>
      </c>
      <c r="C22" s="5" t="s">
        <v>123</v>
      </c>
      <c r="D22" s="6" t="s">
        <v>124</v>
      </c>
      <c r="E22" s="6" t="s">
        <v>118</v>
      </c>
      <c r="F22" s="5" t="s">
        <v>78</v>
      </c>
      <c r="G22" s="5" t="str">
        <f>IF(COUNTIF('Traceability Matrix'!A:A,A22)&gt;0,"YES","NO")</f>
        <v>YES</v>
      </c>
      <c r="H22" s="5">
        <f>COUNTIF('Traceability Matrix'!A:A,A22)</f>
        <v>1</v>
      </c>
      <c r="I22" s="5" t="str">
        <f>IF(H22=0,"NOT COVERED",IF(SUMPRODUCT(('Traceability Matrix'!$A$2:$A$70=A22)*(IFERROR(VLOOKUP('Traceability Matrix'!$G$2:$G$70,'Test Execution'!$A:$M,13,FALSE),"")="FAIL"))&gt;0,"FAIL",IF(SUMPRODUCT(('Traceability Matrix'!$A$2:$A$70=A22)*(IFERROR(VLOOKUP('Traceability Matrix'!$G$2:$G$70,'Test Execution'!$A:$M,13,FALSE),"")="PASS"))=H22,"PASS","IN PROGRESS")))</f>
        <v>IN PROGRESS</v>
      </c>
    </row>
    <row r="23" spans="1:9" ht="37.950000000000003" customHeight="1" x14ac:dyDescent="0.3">
      <c r="A23" s="5" t="s">
        <v>125</v>
      </c>
      <c r="B23" s="6" t="s">
        <v>98</v>
      </c>
      <c r="C23" s="5" t="s">
        <v>126</v>
      </c>
      <c r="D23" s="6" t="s">
        <v>127</v>
      </c>
      <c r="E23" s="6" t="s">
        <v>128</v>
      </c>
      <c r="F23" s="5" t="s">
        <v>82</v>
      </c>
      <c r="G23" s="5" t="str">
        <f>IF(COUNTIF('Traceability Matrix'!A:A,A23)&gt;0,"YES","NO")</f>
        <v>YES</v>
      </c>
      <c r="H23" s="5">
        <f>COUNTIF('Traceability Matrix'!A:A,A23)</f>
        <v>1</v>
      </c>
      <c r="I23" s="5" t="str">
        <f>IF(H23=0,"NOT COVERED",IF(SUMPRODUCT(('Traceability Matrix'!$A$2:$A$70=A23)*(IFERROR(VLOOKUP('Traceability Matrix'!$G$2:$G$70,'Test Execution'!$A:$M,13,FALSE),"")="FAIL"))&gt;0,"FAIL",IF(SUMPRODUCT(('Traceability Matrix'!$A$2:$A$70=A23)*(IFERROR(VLOOKUP('Traceability Matrix'!$G$2:$G$70,'Test Execution'!$A:$M,13,FALSE),"")="PASS"))=H23,"PASS","IN PROGRESS")))</f>
        <v>IN PROGRESS</v>
      </c>
    </row>
    <row r="24" spans="1:9" ht="37.950000000000003" customHeight="1" x14ac:dyDescent="0.3">
      <c r="A24" s="5" t="s">
        <v>129</v>
      </c>
      <c r="B24" s="6" t="s">
        <v>98</v>
      </c>
      <c r="C24" s="5" t="s">
        <v>130</v>
      </c>
      <c r="D24" s="6" t="s">
        <v>131</v>
      </c>
      <c r="E24" s="6" t="s">
        <v>128</v>
      </c>
      <c r="F24" s="5" t="s">
        <v>82</v>
      </c>
      <c r="G24" s="5" t="str">
        <f>IF(COUNTIF('Traceability Matrix'!A:A,A24)&gt;0,"YES","NO")</f>
        <v>YES</v>
      </c>
      <c r="H24" s="5">
        <f>COUNTIF('Traceability Matrix'!A:A,A24)</f>
        <v>1</v>
      </c>
      <c r="I24" s="5" t="str">
        <f>IF(H24=0,"NOT COVERED",IF(SUMPRODUCT(('Traceability Matrix'!$A$2:$A$70=A24)*(IFERROR(VLOOKUP('Traceability Matrix'!$G$2:$G$70,'Test Execution'!$A:$M,13,FALSE),"")="FAIL"))&gt;0,"FAIL",IF(SUMPRODUCT(('Traceability Matrix'!$A$2:$A$70=A24)*(IFERROR(VLOOKUP('Traceability Matrix'!$G$2:$G$70,'Test Execution'!$A:$M,13,FALSE),"")="PASS"))=H24,"PASS","IN PROGRESS")))</f>
        <v>IN PROGRESS</v>
      </c>
    </row>
    <row r="25" spans="1:9" ht="37.950000000000003" customHeight="1" x14ac:dyDescent="0.3">
      <c r="A25" s="5" t="s">
        <v>132</v>
      </c>
      <c r="B25" s="6" t="s">
        <v>98</v>
      </c>
      <c r="C25" s="5" t="s">
        <v>133</v>
      </c>
      <c r="D25" s="6" t="s">
        <v>134</v>
      </c>
      <c r="E25" s="6" t="s">
        <v>128</v>
      </c>
      <c r="F25" s="5" t="s">
        <v>82</v>
      </c>
      <c r="G25" s="5" t="str">
        <f>IF(COUNTIF('Traceability Matrix'!A:A,A25)&gt;0,"YES","NO")</f>
        <v>YES</v>
      </c>
      <c r="H25" s="5">
        <f>COUNTIF('Traceability Matrix'!A:A,A25)</f>
        <v>1</v>
      </c>
      <c r="I25" s="5" t="str">
        <f>IF(H25=0,"NOT COVERED",IF(SUMPRODUCT(('Traceability Matrix'!$A$2:$A$70=A25)*(IFERROR(VLOOKUP('Traceability Matrix'!$G$2:$G$70,'Test Execution'!$A:$M,13,FALSE),"")="FAIL"))&gt;0,"FAIL",IF(SUMPRODUCT(('Traceability Matrix'!$A$2:$A$70=A25)*(IFERROR(VLOOKUP('Traceability Matrix'!$G$2:$G$70,'Test Execution'!$A:$M,13,FALSE),"")="PASS"))=H25,"PASS","IN PROGRESS")))</f>
        <v>IN PROGRESS</v>
      </c>
    </row>
    <row r="26" spans="1:9" ht="37.950000000000003" customHeight="1" x14ac:dyDescent="0.3">
      <c r="A26" s="5" t="s">
        <v>135</v>
      </c>
      <c r="B26" s="6" t="s">
        <v>98</v>
      </c>
      <c r="C26" s="5" t="s">
        <v>136</v>
      </c>
      <c r="D26" s="6" t="s">
        <v>137</v>
      </c>
      <c r="E26" s="6" t="s">
        <v>128</v>
      </c>
      <c r="F26" s="5" t="s">
        <v>82</v>
      </c>
      <c r="G26" s="5" t="str">
        <f>IF(COUNTIF('Traceability Matrix'!A:A,A26)&gt;0,"YES","NO")</f>
        <v>YES</v>
      </c>
      <c r="H26" s="5">
        <f>COUNTIF('Traceability Matrix'!A:A,A26)</f>
        <v>1</v>
      </c>
      <c r="I26" s="5" t="str">
        <f>IF(H26=0,"NOT COVERED",IF(SUMPRODUCT(('Traceability Matrix'!$A$2:$A$70=A26)*(IFERROR(VLOOKUP('Traceability Matrix'!$G$2:$G$70,'Test Execution'!$A:$M,13,FALSE),"")="FAIL"))&gt;0,"FAIL",IF(SUMPRODUCT(('Traceability Matrix'!$A$2:$A$70=A26)*(IFERROR(VLOOKUP('Traceability Matrix'!$G$2:$G$70,'Test Execution'!$A:$M,13,FALSE),"")="PASS"))=H26,"PASS","IN PROGRESS")))</f>
        <v>IN PROGRESS</v>
      </c>
    </row>
    <row r="27" spans="1:9" ht="37.950000000000003" customHeight="1" x14ac:dyDescent="0.3">
      <c r="A27" s="5" t="s">
        <v>138</v>
      </c>
      <c r="B27" s="6" t="s">
        <v>98</v>
      </c>
      <c r="C27" s="5" t="s">
        <v>139</v>
      </c>
      <c r="D27" s="6" t="s">
        <v>140</v>
      </c>
      <c r="E27" s="6" t="s">
        <v>128</v>
      </c>
      <c r="F27" s="5" t="s">
        <v>82</v>
      </c>
      <c r="G27" s="5" t="str">
        <f>IF(COUNTIF('Traceability Matrix'!A:A,A27)&gt;0,"YES","NO")</f>
        <v>YES</v>
      </c>
      <c r="H27" s="5">
        <f>COUNTIF('Traceability Matrix'!A:A,A27)</f>
        <v>1</v>
      </c>
      <c r="I27" s="5" t="str">
        <f>IF(H27=0,"NOT COVERED",IF(SUMPRODUCT(('Traceability Matrix'!$A$2:$A$70=A27)*(IFERROR(VLOOKUP('Traceability Matrix'!$G$2:$G$70,'Test Execution'!$A:$M,13,FALSE),"")="FAIL"))&gt;0,"FAIL",IF(SUMPRODUCT(('Traceability Matrix'!$A$2:$A$70=A27)*(IFERROR(VLOOKUP('Traceability Matrix'!$G$2:$G$70,'Test Execution'!$A:$M,13,FALSE),"")="PASS"))=H27,"PASS","IN PROGRESS")))</f>
        <v>IN PROGRESS</v>
      </c>
    </row>
    <row r="28" spans="1:9" ht="37.950000000000003" customHeight="1" x14ac:dyDescent="0.3">
      <c r="A28" s="5" t="s">
        <v>141</v>
      </c>
      <c r="B28" s="6" t="s">
        <v>98</v>
      </c>
      <c r="C28" s="5" t="s">
        <v>142</v>
      </c>
      <c r="D28" s="6" t="s">
        <v>143</v>
      </c>
      <c r="E28" s="6" t="s">
        <v>128</v>
      </c>
      <c r="F28" s="5" t="s">
        <v>82</v>
      </c>
      <c r="G28" s="5" t="str">
        <f>IF(COUNTIF('Traceability Matrix'!A:A,A28)&gt;0,"YES","NO")</f>
        <v>YES</v>
      </c>
      <c r="H28" s="5">
        <f>COUNTIF('Traceability Matrix'!A:A,A28)</f>
        <v>1</v>
      </c>
      <c r="I28" s="5" t="str">
        <f>IF(H28=0,"NOT COVERED",IF(SUMPRODUCT(('Traceability Matrix'!$A$2:$A$70=A28)*(IFERROR(VLOOKUP('Traceability Matrix'!$G$2:$G$70,'Test Execution'!$A:$M,13,FALSE),"")="FAIL"))&gt;0,"FAIL",IF(SUMPRODUCT(('Traceability Matrix'!$A$2:$A$70=A28)*(IFERROR(VLOOKUP('Traceability Matrix'!$G$2:$G$70,'Test Execution'!$A:$M,13,FALSE),"")="PASS"))=H28,"PASS","IN PROGRESS")))</f>
        <v>IN PROGRESS</v>
      </c>
    </row>
    <row r="29" spans="1:9" ht="37.950000000000003" customHeight="1" x14ac:dyDescent="0.3">
      <c r="A29" s="5" t="s">
        <v>144</v>
      </c>
      <c r="B29" s="6" t="s">
        <v>98</v>
      </c>
      <c r="C29" s="5" t="s">
        <v>145</v>
      </c>
      <c r="D29" s="6" t="s">
        <v>146</v>
      </c>
      <c r="E29" s="6" t="s">
        <v>128</v>
      </c>
      <c r="F29" s="5" t="s">
        <v>82</v>
      </c>
      <c r="G29" s="5" t="str">
        <f>IF(COUNTIF('Traceability Matrix'!A:A,A29)&gt;0,"YES","NO")</f>
        <v>YES</v>
      </c>
      <c r="H29" s="5">
        <f>COUNTIF('Traceability Matrix'!A:A,A29)</f>
        <v>1</v>
      </c>
      <c r="I29" s="5" t="str">
        <f>IF(H29=0,"NOT COVERED",IF(SUMPRODUCT(('Traceability Matrix'!$A$2:$A$70=A29)*(IFERROR(VLOOKUP('Traceability Matrix'!$G$2:$G$70,'Test Execution'!$A:$M,13,FALSE),"")="FAIL"))&gt;0,"FAIL",IF(SUMPRODUCT(('Traceability Matrix'!$A$2:$A$70=A29)*(IFERROR(VLOOKUP('Traceability Matrix'!$G$2:$G$70,'Test Execution'!$A:$M,13,FALSE),"")="PASS"))=H29,"PASS","IN PROGRESS")))</f>
        <v>IN PROGRESS</v>
      </c>
    </row>
    <row r="30" spans="1:9" ht="37.950000000000003" customHeight="1" x14ac:dyDescent="0.3">
      <c r="A30" s="5" t="s">
        <v>147</v>
      </c>
      <c r="B30" s="6" t="s">
        <v>98</v>
      </c>
      <c r="C30" s="5" t="s">
        <v>148</v>
      </c>
      <c r="D30" s="6" t="s">
        <v>149</v>
      </c>
      <c r="E30" s="6" t="s">
        <v>128</v>
      </c>
      <c r="F30" s="5" t="s">
        <v>82</v>
      </c>
      <c r="G30" s="5" t="str">
        <f>IF(COUNTIF('Traceability Matrix'!A:A,A30)&gt;0,"YES","NO")</f>
        <v>YES</v>
      </c>
      <c r="H30" s="5">
        <f>COUNTIF('Traceability Matrix'!A:A,A30)</f>
        <v>1</v>
      </c>
      <c r="I30" s="5" t="str">
        <f>IF(H30=0,"NOT COVERED",IF(SUMPRODUCT(('Traceability Matrix'!$A$2:$A$70=A30)*(IFERROR(VLOOKUP('Traceability Matrix'!$G$2:$G$70,'Test Execution'!$A:$M,13,FALSE),"")="FAIL"))&gt;0,"FAIL",IF(SUMPRODUCT(('Traceability Matrix'!$A$2:$A$70=A30)*(IFERROR(VLOOKUP('Traceability Matrix'!$G$2:$G$70,'Test Execution'!$A:$M,13,FALSE),"")="PASS"))=H30,"PASS","IN PROGRESS")))</f>
        <v>IN PROGRESS</v>
      </c>
    </row>
    <row r="31" spans="1:9" ht="37.950000000000003" customHeight="1" x14ac:dyDescent="0.3">
      <c r="A31" s="5" t="s">
        <v>150</v>
      </c>
      <c r="B31" s="6" t="s">
        <v>98</v>
      </c>
      <c r="C31" s="5" t="s">
        <v>151</v>
      </c>
      <c r="D31" s="6" t="s">
        <v>152</v>
      </c>
      <c r="E31" s="6" t="s">
        <v>128</v>
      </c>
      <c r="F31" s="5" t="s">
        <v>82</v>
      </c>
      <c r="G31" s="5" t="str">
        <f>IF(COUNTIF('Traceability Matrix'!A:A,A31)&gt;0,"YES","NO")</f>
        <v>YES</v>
      </c>
      <c r="H31" s="5">
        <f>COUNTIF('Traceability Matrix'!A:A,A31)</f>
        <v>1</v>
      </c>
      <c r="I31" s="5" t="str">
        <f>IF(H31=0,"NOT COVERED",IF(SUMPRODUCT(('Traceability Matrix'!$A$2:$A$70=A31)*(IFERROR(VLOOKUP('Traceability Matrix'!$G$2:$G$70,'Test Execution'!$A:$M,13,FALSE),"")="FAIL"))&gt;0,"FAIL",IF(SUMPRODUCT(('Traceability Matrix'!$A$2:$A$70=A31)*(IFERROR(VLOOKUP('Traceability Matrix'!$G$2:$G$70,'Test Execution'!$A:$M,13,FALSE),"")="PASS"))=H31,"PASS","IN PROGRESS")))</f>
        <v>IN PROGRESS</v>
      </c>
    </row>
    <row r="32" spans="1:9" ht="37.950000000000003" customHeight="1" x14ac:dyDescent="0.3">
      <c r="A32" s="5" t="s">
        <v>153</v>
      </c>
      <c r="B32" s="6" t="s">
        <v>98</v>
      </c>
      <c r="C32" s="5" t="s">
        <v>154</v>
      </c>
      <c r="D32" s="6" t="s">
        <v>155</v>
      </c>
      <c r="E32" s="6" t="s">
        <v>156</v>
      </c>
      <c r="F32" s="5" t="s">
        <v>86</v>
      </c>
      <c r="G32" s="5" t="str">
        <f>IF(COUNTIF('Traceability Matrix'!A:A,A32)&gt;0,"YES","NO")</f>
        <v>YES</v>
      </c>
      <c r="H32" s="5">
        <f>COUNTIF('Traceability Matrix'!A:A,A32)</f>
        <v>1</v>
      </c>
      <c r="I32" s="5" t="str">
        <f>IF(H32=0,"NOT COVERED",IF(SUMPRODUCT(('Traceability Matrix'!$A$2:$A$70=A32)*(IFERROR(VLOOKUP('Traceability Matrix'!$G$2:$G$70,'Test Execution'!$A:$M,13,FALSE),"")="FAIL"))&gt;0,"FAIL",IF(SUMPRODUCT(('Traceability Matrix'!$A$2:$A$70=A32)*(IFERROR(VLOOKUP('Traceability Matrix'!$G$2:$G$70,'Test Execution'!$A:$M,13,FALSE),"")="PASS"))=H32,"PASS","IN PROGRESS")))</f>
        <v>IN PROGRESS</v>
      </c>
    </row>
    <row r="33" spans="1:9" ht="37.950000000000003" customHeight="1" x14ac:dyDescent="0.3">
      <c r="A33" s="5" t="s">
        <v>157</v>
      </c>
      <c r="B33" s="6" t="s">
        <v>98</v>
      </c>
      <c r="C33" s="5" t="s">
        <v>158</v>
      </c>
      <c r="D33" s="6" t="s">
        <v>159</v>
      </c>
      <c r="E33" s="6" t="s">
        <v>156</v>
      </c>
      <c r="F33" s="5" t="s">
        <v>86</v>
      </c>
      <c r="G33" s="5" t="str">
        <f>IF(COUNTIF('Traceability Matrix'!A:A,A33)&gt;0,"YES","NO")</f>
        <v>YES</v>
      </c>
      <c r="H33" s="5">
        <f>COUNTIF('Traceability Matrix'!A:A,A33)</f>
        <v>1</v>
      </c>
      <c r="I33" s="5" t="str">
        <f>IF(H33=0,"NOT COVERED",IF(SUMPRODUCT(('Traceability Matrix'!$A$2:$A$70=A33)*(IFERROR(VLOOKUP('Traceability Matrix'!$G$2:$G$70,'Test Execution'!$A:$M,13,FALSE),"")="FAIL"))&gt;0,"FAIL",IF(SUMPRODUCT(('Traceability Matrix'!$A$2:$A$70=A33)*(IFERROR(VLOOKUP('Traceability Matrix'!$G$2:$G$70,'Test Execution'!$A:$M,13,FALSE),"")="PASS"))=H33,"PASS","IN PROGRESS")))</f>
        <v>IN PROGRESS</v>
      </c>
    </row>
    <row r="34" spans="1:9" ht="37.950000000000003" customHeight="1" x14ac:dyDescent="0.3">
      <c r="A34" s="5" t="s">
        <v>160</v>
      </c>
      <c r="B34" s="6" t="s">
        <v>98</v>
      </c>
      <c r="C34" s="5" t="s">
        <v>161</v>
      </c>
      <c r="D34" s="6" t="s">
        <v>162</v>
      </c>
      <c r="E34" s="6" t="s">
        <v>163</v>
      </c>
      <c r="F34" s="5" t="s">
        <v>86</v>
      </c>
      <c r="G34" s="5" t="str">
        <f>IF(COUNTIF('Traceability Matrix'!A:A,A34)&gt;0,"YES","NO")</f>
        <v>YES</v>
      </c>
      <c r="H34" s="5">
        <f>COUNTIF('Traceability Matrix'!A:A,A34)</f>
        <v>1</v>
      </c>
      <c r="I34" s="5" t="str">
        <f>IF(H34=0,"NOT COVERED",IF(SUMPRODUCT(('Traceability Matrix'!$A$2:$A$70=A34)*(IFERROR(VLOOKUP('Traceability Matrix'!$G$2:$G$70,'Test Execution'!$A:$M,13,FALSE),"")="FAIL"))&gt;0,"FAIL",IF(SUMPRODUCT(('Traceability Matrix'!$A$2:$A$70=A34)*(IFERROR(VLOOKUP('Traceability Matrix'!$G$2:$G$70,'Test Execution'!$A:$M,13,FALSE),"")="PASS"))=H34,"PASS","IN PROGRESS")))</f>
        <v>IN PROGRESS</v>
      </c>
    </row>
    <row r="35" spans="1:9" ht="37.950000000000003" customHeight="1" x14ac:dyDescent="0.3">
      <c r="A35" s="5" t="s">
        <v>164</v>
      </c>
      <c r="B35" s="6" t="s">
        <v>98</v>
      </c>
      <c r="C35" s="5" t="s">
        <v>165</v>
      </c>
      <c r="D35" s="6" t="s">
        <v>166</v>
      </c>
      <c r="E35" s="6" t="s">
        <v>163</v>
      </c>
      <c r="F35" s="5" t="s">
        <v>82</v>
      </c>
      <c r="G35" s="5" t="str">
        <f>IF(COUNTIF('Traceability Matrix'!A:A,A35)&gt;0,"YES","NO")</f>
        <v>YES</v>
      </c>
      <c r="H35" s="5">
        <f>COUNTIF('Traceability Matrix'!A:A,A35)</f>
        <v>1</v>
      </c>
      <c r="I35" s="5" t="str">
        <f>IF(H35=0,"NOT COVERED",IF(SUMPRODUCT(('Traceability Matrix'!$A$2:$A$70=A35)*(IFERROR(VLOOKUP('Traceability Matrix'!$G$2:$G$70,'Test Execution'!$A:$M,13,FALSE),"")="FAIL"))&gt;0,"FAIL",IF(SUMPRODUCT(('Traceability Matrix'!$A$2:$A$70=A35)*(IFERROR(VLOOKUP('Traceability Matrix'!$G$2:$G$70,'Test Execution'!$A:$M,13,FALSE),"")="PASS"))=H35,"PASS","IN PROGRESS")))</f>
        <v>IN PROGRESS</v>
      </c>
    </row>
    <row r="36" spans="1:9" ht="37.950000000000003" customHeight="1" x14ac:dyDescent="0.3">
      <c r="A36" s="5" t="s">
        <v>167</v>
      </c>
      <c r="B36" s="6" t="s">
        <v>98</v>
      </c>
      <c r="C36" s="5" t="s">
        <v>168</v>
      </c>
      <c r="D36" s="6" t="s">
        <v>169</v>
      </c>
      <c r="E36" s="6" t="s">
        <v>170</v>
      </c>
      <c r="F36" s="5" t="s">
        <v>86</v>
      </c>
      <c r="G36" s="5" t="str">
        <f>IF(COUNTIF('Traceability Matrix'!A:A,A36)&gt;0,"YES","NO")</f>
        <v>YES</v>
      </c>
      <c r="H36" s="5">
        <f>COUNTIF('Traceability Matrix'!A:A,A36)</f>
        <v>1</v>
      </c>
      <c r="I36" s="5" t="str">
        <f>IF(H36=0,"NOT COVERED",IF(SUMPRODUCT(('Traceability Matrix'!$A$2:$A$70=A36)*(IFERROR(VLOOKUP('Traceability Matrix'!$G$2:$G$70,'Test Execution'!$A:$M,13,FALSE),"")="FAIL"))&gt;0,"FAIL",IF(SUMPRODUCT(('Traceability Matrix'!$A$2:$A$70=A36)*(IFERROR(VLOOKUP('Traceability Matrix'!$G$2:$G$70,'Test Execution'!$A:$M,13,FALSE),"")="PASS"))=H36,"PASS","IN PROGRESS")))</f>
        <v>IN PROGRESS</v>
      </c>
    </row>
    <row r="37" spans="1:9" ht="37.950000000000003" customHeight="1" x14ac:dyDescent="0.3">
      <c r="A37" s="5" t="s">
        <v>171</v>
      </c>
      <c r="B37" s="6" t="s">
        <v>98</v>
      </c>
      <c r="C37" s="5" t="s">
        <v>172</v>
      </c>
      <c r="D37" s="6" t="s">
        <v>173</v>
      </c>
      <c r="E37" s="6" t="s">
        <v>170</v>
      </c>
      <c r="F37" s="5" t="s">
        <v>82</v>
      </c>
      <c r="G37" s="5" t="str">
        <f>IF(COUNTIF('Traceability Matrix'!A:A,A37)&gt;0,"YES","NO")</f>
        <v>YES</v>
      </c>
      <c r="H37" s="5">
        <f>COUNTIF('Traceability Matrix'!A:A,A37)</f>
        <v>1</v>
      </c>
      <c r="I37" s="5" t="str">
        <f>IF(H37=0,"NOT COVERED",IF(SUMPRODUCT(('Traceability Matrix'!$A$2:$A$70=A37)*(IFERROR(VLOOKUP('Traceability Matrix'!$G$2:$G$70,'Test Execution'!$A:$M,13,FALSE),"")="FAIL"))&gt;0,"FAIL",IF(SUMPRODUCT(('Traceability Matrix'!$A$2:$A$70=A37)*(IFERROR(VLOOKUP('Traceability Matrix'!$G$2:$G$70,'Test Execution'!$A:$M,13,FALSE),"")="PASS"))=H37,"PASS","IN PROGRESS")))</f>
        <v>IN PROGRESS</v>
      </c>
    </row>
    <row r="38" spans="1:9" ht="37.950000000000003" customHeight="1" x14ac:dyDescent="0.3">
      <c r="A38" s="5" t="s">
        <v>174</v>
      </c>
      <c r="B38" s="6" t="s">
        <v>175</v>
      </c>
      <c r="C38" s="5" t="s">
        <v>176</v>
      </c>
      <c r="D38" s="6" t="s">
        <v>177</v>
      </c>
      <c r="E38" s="6" t="s">
        <v>51</v>
      </c>
      <c r="F38" s="5" t="s">
        <v>52</v>
      </c>
      <c r="G38" s="5" t="str">
        <f>IF(COUNTIF('Traceability Matrix'!A:A,A38)&gt;0,"YES","NO")</f>
        <v>YES</v>
      </c>
      <c r="H38" s="5">
        <f>COUNTIF('Traceability Matrix'!A:A,A38)</f>
        <v>1</v>
      </c>
      <c r="I38" s="5" t="str">
        <f>IF(H38=0,"NOT COVERED",IF(SUMPRODUCT(('Traceability Matrix'!$A$2:$A$70=A38)*(IFERROR(VLOOKUP('Traceability Matrix'!$G$2:$G$70,'Test Execution'!$A:$M,13,FALSE),"")="FAIL"))&gt;0,"FAIL",IF(SUMPRODUCT(('Traceability Matrix'!$A$2:$A$70=A38)*(IFERROR(VLOOKUP('Traceability Matrix'!$G$2:$G$70,'Test Execution'!$A:$M,13,FALSE),"")="PASS"))=H38,"PASS","IN PROGRESS")))</f>
        <v>IN PROGRESS</v>
      </c>
    </row>
    <row r="39" spans="1:9" ht="37.950000000000003" customHeight="1" x14ac:dyDescent="0.3">
      <c r="A39" s="5" t="s">
        <v>178</v>
      </c>
      <c r="B39" s="6" t="s">
        <v>175</v>
      </c>
      <c r="C39" s="5" t="s">
        <v>179</v>
      </c>
      <c r="D39" s="6" t="s">
        <v>180</v>
      </c>
      <c r="E39" s="6" t="s">
        <v>51</v>
      </c>
      <c r="F39" s="5" t="s">
        <v>52</v>
      </c>
      <c r="G39" s="5" t="str">
        <f>IF(COUNTIF('Traceability Matrix'!A:A,A39)&gt;0,"YES","NO")</f>
        <v>YES</v>
      </c>
      <c r="H39" s="5">
        <f>COUNTIF('Traceability Matrix'!A:A,A39)</f>
        <v>1</v>
      </c>
      <c r="I39" s="5" t="str">
        <f>IF(H39=0,"NOT COVERED",IF(SUMPRODUCT(('Traceability Matrix'!$A$2:$A$70=A39)*(IFERROR(VLOOKUP('Traceability Matrix'!$G$2:$G$70,'Test Execution'!$A:$M,13,FALSE),"")="FAIL"))&gt;0,"FAIL",IF(SUMPRODUCT(('Traceability Matrix'!$A$2:$A$70=A39)*(IFERROR(VLOOKUP('Traceability Matrix'!$G$2:$G$70,'Test Execution'!$A:$M,13,FALSE),"")="PASS"))=H39,"PASS","IN PROGRESS")))</f>
        <v>IN PROGRESS</v>
      </c>
    </row>
    <row r="40" spans="1:9" ht="37.950000000000003" customHeight="1" x14ac:dyDescent="0.3">
      <c r="A40" s="5" t="s">
        <v>181</v>
      </c>
      <c r="B40" s="6" t="s">
        <v>175</v>
      </c>
      <c r="C40" s="5" t="s">
        <v>182</v>
      </c>
      <c r="D40" s="6" t="s">
        <v>183</v>
      </c>
      <c r="E40" s="6" t="s">
        <v>51</v>
      </c>
      <c r="F40" s="5" t="s">
        <v>52</v>
      </c>
      <c r="G40" s="5" t="str">
        <f>IF(COUNTIF('Traceability Matrix'!A:A,A40)&gt;0,"YES","NO")</f>
        <v>YES</v>
      </c>
      <c r="H40" s="5">
        <f>COUNTIF('Traceability Matrix'!A:A,A40)</f>
        <v>1</v>
      </c>
      <c r="I40" s="5" t="str">
        <f>IF(H40=0,"NOT COVERED",IF(SUMPRODUCT(('Traceability Matrix'!$A$2:$A$70=A40)*(IFERROR(VLOOKUP('Traceability Matrix'!$G$2:$G$70,'Test Execution'!$A:$M,13,FALSE),"")="FAIL"))&gt;0,"FAIL",IF(SUMPRODUCT(('Traceability Matrix'!$A$2:$A$70=A40)*(IFERROR(VLOOKUP('Traceability Matrix'!$G$2:$G$70,'Test Execution'!$A:$M,13,FALSE),"")="PASS"))=H40,"PASS","IN PROGRESS")))</f>
        <v>IN PROGRESS</v>
      </c>
    </row>
    <row r="41" spans="1:9" ht="37.950000000000003" customHeight="1" x14ac:dyDescent="0.3">
      <c r="A41" s="5" t="s">
        <v>184</v>
      </c>
      <c r="B41" s="6" t="s">
        <v>175</v>
      </c>
      <c r="C41" s="5" t="s">
        <v>185</v>
      </c>
      <c r="D41" s="6" t="s">
        <v>186</v>
      </c>
      <c r="E41" s="6" t="s">
        <v>51</v>
      </c>
      <c r="F41" s="5" t="s">
        <v>52</v>
      </c>
      <c r="G41" s="5" t="str">
        <f>IF(COUNTIF('Traceability Matrix'!A:A,A41)&gt;0,"YES","NO")</f>
        <v>YES</v>
      </c>
      <c r="H41" s="5">
        <f>COUNTIF('Traceability Matrix'!A:A,A41)</f>
        <v>1</v>
      </c>
      <c r="I41" s="5" t="str">
        <f>IF(H41=0,"NOT COVERED",IF(SUMPRODUCT(('Traceability Matrix'!$A$2:$A$70=A41)*(IFERROR(VLOOKUP('Traceability Matrix'!$G$2:$G$70,'Test Execution'!$A:$M,13,FALSE),"")="FAIL"))&gt;0,"FAIL",IF(SUMPRODUCT(('Traceability Matrix'!$A$2:$A$70=A41)*(IFERROR(VLOOKUP('Traceability Matrix'!$G$2:$G$70,'Test Execution'!$A:$M,13,FALSE),"")="PASS"))=H41,"PASS","IN PROGRESS")))</f>
        <v>IN PROGRESS</v>
      </c>
    </row>
  </sheetData>
  <conditionalFormatting sqref="G2:G41">
    <cfRule type="expression" dxfId="7" priority="1">
      <formula>$G2="YES"</formula>
    </cfRule>
    <cfRule type="expression" dxfId="6" priority="2">
      <formula>$G2="NO"</formula>
    </cfRule>
  </conditionalFormatting>
  <conditionalFormatting sqref="I2:I41">
    <cfRule type="expression" dxfId="5" priority="3">
      <formula>$I2="PASS"</formula>
    </cfRule>
    <cfRule type="expression" dxfId="4" priority="4">
      <formula>$I2="FAIL"</formula>
    </cfRule>
    <cfRule type="expression" dxfId="3" priority="5">
      <formula>OR($I2="NOT COVERED",$I2="IN PROGRESS")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2"/>
  <sheetViews>
    <sheetView workbookViewId="0">
      <pane xSplit="2" ySplit="1" topLeftCell="K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" customWidth="1"/>
    <col min="2" max="2" width="16" customWidth="1"/>
    <col min="3" max="4" width="20" customWidth="1"/>
    <col min="5" max="5" width="26" customWidth="1"/>
    <col min="6" max="6" width="12" customWidth="1"/>
    <col min="7" max="7" width="28" customWidth="1"/>
    <col min="8" max="8" width="30" customWidth="1"/>
    <col min="9" max="9" width="10" customWidth="1"/>
    <col min="10" max="10" width="18" customWidth="1"/>
    <col min="11" max="12" width="12" customWidth="1"/>
    <col min="13" max="13" width="10" customWidth="1"/>
    <col min="14" max="14" width="12" customWidth="1"/>
    <col min="15" max="15" width="18" customWidth="1"/>
    <col min="16" max="18" width="14" customWidth="1"/>
    <col min="19" max="19" width="60" customWidth="1"/>
  </cols>
  <sheetData>
    <row r="1" spans="1:19" ht="31.95" customHeight="1" x14ac:dyDescent="0.3">
      <c r="A1" s="4" t="s">
        <v>187</v>
      </c>
      <c r="B1" s="4" t="s">
        <v>188</v>
      </c>
      <c r="C1" s="4" t="s">
        <v>43</v>
      </c>
      <c r="D1" s="4" t="s">
        <v>189</v>
      </c>
      <c r="E1" s="4" t="s">
        <v>190</v>
      </c>
      <c r="F1" s="4" t="s">
        <v>191</v>
      </c>
      <c r="G1" s="4" t="s">
        <v>192</v>
      </c>
      <c r="H1" s="4" t="s">
        <v>193</v>
      </c>
      <c r="I1" s="4" t="s">
        <v>194</v>
      </c>
      <c r="J1" s="4" t="s">
        <v>195</v>
      </c>
      <c r="K1" s="4" t="s">
        <v>196</v>
      </c>
      <c r="L1" s="4" t="s">
        <v>197</v>
      </c>
      <c r="M1" s="4" t="s">
        <v>198</v>
      </c>
      <c r="N1" s="4" t="s">
        <v>199</v>
      </c>
      <c r="O1" s="4" t="s">
        <v>200</v>
      </c>
      <c r="P1" s="4" t="s">
        <v>201</v>
      </c>
      <c r="Q1" s="4" t="s">
        <v>202</v>
      </c>
      <c r="R1" s="4" t="s">
        <v>203</v>
      </c>
      <c r="S1" s="4" t="s">
        <v>204</v>
      </c>
    </row>
    <row r="2" spans="1:19" ht="36" customHeight="1" x14ac:dyDescent="0.3">
      <c r="A2" s="7" t="s">
        <v>205</v>
      </c>
      <c r="B2" s="8" t="s">
        <v>59</v>
      </c>
      <c r="C2" s="7" t="s">
        <v>52</v>
      </c>
      <c r="D2" s="8" t="s">
        <v>4</v>
      </c>
      <c r="E2" s="8" t="s">
        <v>206</v>
      </c>
      <c r="F2" s="7" t="s">
        <v>207</v>
      </c>
      <c r="G2" s="7"/>
      <c r="H2" s="7"/>
      <c r="I2" s="7"/>
      <c r="J2" s="7" t="s">
        <v>208</v>
      </c>
      <c r="K2" s="7"/>
      <c r="L2" s="7"/>
      <c r="M2" s="7"/>
      <c r="N2" s="7"/>
      <c r="O2" s="7" t="s">
        <v>209</v>
      </c>
      <c r="P2" s="7">
        <v>0</v>
      </c>
      <c r="Q2" s="7">
        <v>0</v>
      </c>
      <c r="R2" s="7">
        <v>0</v>
      </c>
      <c r="S2" s="7" t="s">
        <v>210</v>
      </c>
    </row>
    <row r="3" spans="1:19" ht="36" customHeight="1" x14ac:dyDescent="0.3">
      <c r="A3" s="7" t="s">
        <v>211</v>
      </c>
      <c r="B3" s="8" t="s">
        <v>63</v>
      </c>
      <c r="C3" s="7" t="s">
        <v>52</v>
      </c>
      <c r="D3" s="8" t="s">
        <v>4</v>
      </c>
      <c r="E3" s="8" t="s">
        <v>212</v>
      </c>
      <c r="F3" s="7" t="s">
        <v>213</v>
      </c>
      <c r="G3" s="7"/>
      <c r="H3" s="7"/>
      <c r="I3" s="7"/>
      <c r="J3" s="7" t="s">
        <v>214</v>
      </c>
      <c r="K3" s="7">
        <v>10</v>
      </c>
      <c r="L3" s="7">
        <v>0</v>
      </c>
      <c r="M3" s="7">
        <v>0.4</v>
      </c>
      <c r="N3" s="7">
        <v>0</v>
      </c>
      <c r="O3" s="7" t="s">
        <v>214</v>
      </c>
      <c r="P3" s="7">
        <v>1</v>
      </c>
      <c r="Q3" s="7">
        <v>0</v>
      </c>
      <c r="R3" s="7">
        <v>0</v>
      </c>
      <c r="S3" s="7" t="s">
        <v>215</v>
      </c>
    </row>
    <row r="4" spans="1:19" ht="36" customHeight="1" x14ac:dyDescent="0.3">
      <c r="A4" s="7" t="s">
        <v>216</v>
      </c>
      <c r="B4" s="8" t="s">
        <v>94</v>
      </c>
      <c r="C4" s="7" t="s">
        <v>52</v>
      </c>
      <c r="D4" s="8" t="s">
        <v>4</v>
      </c>
      <c r="E4" s="8" t="s">
        <v>217</v>
      </c>
      <c r="F4" s="7" t="s">
        <v>218</v>
      </c>
      <c r="G4" s="7"/>
      <c r="H4" s="7"/>
      <c r="I4" s="7"/>
      <c r="J4" s="7" t="s">
        <v>219</v>
      </c>
      <c r="K4" s="7">
        <v>10</v>
      </c>
      <c r="L4" s="7">
        <v>0</v>
      </c>
      <c r="M4" s="7">
        <v>0.4</v>
      </c>
      <c r="N4" s="7">
        <v>0</v>
      </c>
      <c r="O4" s="7" t="s">
        <v>209</v>
      </c>
      <c r="P4" s="7">
        <v>0</v>
      </c>
      <c r="Q4" s="7">
        <v>0</v>
      </c>
      <c r="R4" s="7">
        <v>0</v>
      </c>
      <c r="S4" s="7" t="s">
        <v>220</v>
      </c>
    </row>
    <row r="5" spans="1:19" ht="36" customHeight="1" x14ac:dyDescent="0.3">
      <c r="A5" s="7" t="s">
        <v>221</v>
      </c>
      <c r="B5" s="8" t="s">
        <v>97</v>
      </c>
      <c r="C5" s="7" t="s">
        <v>70</v>
      </c>
      <c r="D5" s="8" t="s">
        <v>4</v>
      </c>
      <c r="E5" s="8" t="s">
        <v>222</v>
      </c>
      <c r="F5" s="7" t="s">
        <v>223</v>
      </c>
      <c r="G5" s="7"/>
      <c r="H5" s="7"/>
      <c r="I5" s="7"/>
      <c r="J5" s="7" t="s">
        <v>209</v>
      </c>
      <c r="K5" s="7">
        <v>10</v>
      </c>
      <c r="L5" s="7">
        <v>0</v>
      </c>
      <c r="M5" s="7">
        <v>0.4</v>
      </c>
      <c r="N5" s="7">
        <v>0</v>
      </c>
      <c r="O5" s="7" t="s">
        <v>214</v>
      </c>
      <c r="P5" s="7">
        <v>1</v>
      </c>
      <c r="Q5" s="7">
        <v>0</v>
      </c>
      <c r="R5" s="7">
        <v>0</v>
      </c>
      <c r="S5" s="7" t="s">
        <v>224</v>
      </c>
    </row>
    <row r="6" spans="1:19" ht="36" customHeight="1" x14ac:dyDescent="0.3">
      <c r="A6" s="7" t="s">
        <v>225</v>
      </c>
      <c r="B6" s="8" t="s">
        <v>102</v>
      </c>
      <c r="C6" s="7" t="s">
        <v>70</v>
      </c>
      <c r="D6" s="8" t="s">
        <v>4</v>
      </c>
      <c r="E6" s="8" t="s">
        <v>222</v>
      </c>
      <c r="F6" s="7" t="s">
        <v>223</v>
      </c>
      <c r="G6" s="7"/>
      <c r="H6" s="7"/>
      <c r="I6" s="7"/>
      <c r="J6" s="7" t="s">
        <v>209</v>
      </c>
      <c r="K6" s="7">
        <v>50</v>
      </c>
      <c r="L6" s="7">
        <v>0</v>
      </c>
      <c r="M6" s="7">
        <v>0.4</v>
      </c>
      <c r="N6" s="7">
        <v>0</v>
      </c>
      <c r="O6" s="7" t="s">
        <v>226</v>
      </c>
      <c r="P6" s="7">
        <v>1</v>
      </c>
      <c r="Q6" s="7">
        <v>1</v>
      </c>
      <c r="R6" s="7">
        <v>0</v>
      </c>
      <c r="S6" s="7" t="s">
        <v>227</v>
      </c>
    </row>
    <row r="7" spans="1:19" ht="36" customHeight="1" x14ac:dyDescent="0.3">
      <c r="A7" s="7" t="s">
        <v>228</v>
      </c>
      <c r="B7" s="8" t="s">
        <v>102</v>
      </c>
      <c r="C7" s="7" t="s">
        <v>70</v>
      </c>
      <c r="D7" s="8" t="s">
        <v>4</v>
      </c>
      <c r="E7" s="8" t="s">
        <v>222</v>
      </c>
      <c r="F7" s="7" t="s">
        <v>223</v>
      </c>
      <c r="G7" s="7"/>
      <c r="H7" s="7"/>
      <c r="I7" s="7"/>
      <c r="J7" s="7" t="s">
        <v>209</v>
      </c>
      <c r="K7" s="7">
        <v>10</v>
      </c>
      <c r="L7" s="7">
        <v>0</v>
      </c>
      <c r="M7" s="7">
        <v>0.3</v>
      </c>
      <c r="N7" s="7">
        <v>0</v>
      </c>
      <c r="O7" s="7" t="s">
        <v>226</v>
      </c>
      <c r="P7" s="7">
        <v>1</v>
      </c>
      <c r="Q7" s="7">
        <v>1</v>
      </c>
      <c r="R7" s="7">
        <v>0</v>
      </c>
      <c r="S7" s="7" t="s">
        <v>229</v>
      </c>
    </row>
    <row r="8" spans="1:19" ht="36" customHeight="1" x14ac:dyDescent="0.3">
      <c r="A8" s="7" t="s">
        <v>230</v>
      </c>
      <c r="B8" s="8" t="s">
        <v>105</v>
      </c>
      <c r="C8" s="7" t="s">
        <v>74</v>
      </c>
      <c r="D8" s="8" t="s">
        <v>4</v>
      </c>
      <c r="E8" s="8" t="s">
        <v>231</v>
      </c>
      <c r="F8" s="7" t="s">
        <v>232</v>
      </c>
      <c r="G8" s="7"/>
      <c r="H8" s="7"/>
      <c r="I8" s="7"/>
      <c r="J8" s="7" t="s">
        <v>214</v>
      </c>
      <c r="K8" s="7">
        <v>10</v>
      </c>
      <c r="L8" s="7">
        <v>-10</v>
      </c>
      <c r="M8" s="7">
        <v>0.4</v>
      </c>
      <c r="N8" s="7">
        <v>0</v>
      </c>
      <c r="O8" s="7" t="s">
        <v>233</v>
      </c>
      <c r="P8" s="7">
        <v>1</v>
      </c>
      <c r="Q8" s="7">
        <v>0</v>
      </c>
      <c r="R8" s="7">
        <v>0</v>
      </c>
      <c r="S8" s="7" t="s">
        <v>234</v>
      </c>
    </row>
    <row r="9" spans="1:19" ht="36" customHeight="1" x14ac:dyDescent="0.3">
      <c r="A9" s="7" t="s">
        <v>235</v>
      </c>
      <c r="B9" s="8" t="s">
        <v>109</v>
      </c>
      <c r="C9" s="7" t="s">
        <v>74</v>
      </c>
      <c r="D9" s="8" t="s">
        <v>4</v>
      </c>
      <c r="E9" s="8" t="s">
        <v>231</v>
      </c>
      <c r="F9" s="7" t="s">
        <v>232</v>
      </c>
      <c r="G9" s="7"/>
      <c r="H9" s="7"/>
      <c r="I9" s="7"/>
      <c r="J9" s="7" t="s">
        <v>214</v>
      </c>
      <c r="K9" s="7">
        <v>40</v>
      </c>
      <c r="L9" s="7">
        <v>0</v>
      </c>
      <c r="M9" s="7">
        <v>0.4</v>
      </c>
      <c r="N9" s="7">
        <v>0</v>
      </c>
      <c r="O9" s="7" t="s">
        <v>226</v>
      </c>
      <c r="P9" s="7">
        <v>1</v>
      </c>
      <c r="Q9" s="7">
        <v>1</v>
      </c>
      <c r="R9" s="7">
        <v>0</v>
      </c>
      <c r="S9" s="7" t="s">
        <v>236</v>
      </c>
    </row>
    <row r="10" spans="1:19" ht="36" customHeight="1" x14ac:dyDescent="0.3">
      <c r="A10" s="7" t="s">
        <v>237</v>
      </c>
      <c r="B10" s="8" t="s">
        <v>112</v>
      </c>
      <c r="C10" s="7" t="s">
        <v>74</v>
      </c>
      <c r="D10" s="8" t="s">
        <v>4</v>
      </c>
      <c r="E10" s="8" t="s">
        <v>231</v>
      </c>
      <c r="F10" s="7" t="s">
        <v>232</v>
      </c>
      <c r="G10" s="7"/>
      <c r="H10" s="7"/>
      <c r="I10" s="7"/>
      <c r="J10" s="7" t="s">
        <v>214</v>
      </c>
      <c r="K10" s="7">
        <v>0.3</v>
      </c>
      <c r="L10" s="7">
        <v>0</v>
      </c>
      <c r="M10" s="7">
        <v>0.4</v>
      </c>
      <c r="N10" s="7">
        <v>0</v>
      </c>
      <c r="O10" s="7" t="s">
        <v>209</v>
      </c>
      <c r="P10" s="7">
        <v>0</v>
      </c>
      <c r="Q10" s="7">
        <v>0</v>
      </c>
      <c r="R10" s="7">
        <v>0</v>
      </c>
      <c r="S10" s="7" t="s">
        <v>238</v>
      </c>
    </row>
    <row r="11" spans="1:19" ht="36" customHeight="1" x14ac:dyDescent="0.3">
      <c r="A11" s="7" t="s">
        <v>239</v>
      </c>
      <c r="B11" s="8" t="s">
        <v>125</v>
      </c>
      <c r="C11" s="7" t="s">
        <v>82</v>
      </c>
      <c r="D11" s="8" t="s">
        <v>4</v>
      </c>
      <c r="E11" s="8" t="s">
        <v>240</v>
      </c>
      <c r="F11" s="7" t="s">
        <v>241</v>
      </c>
      <c r="G11" s="7"/>
      <c r="H11" s="7"/>
      <c r="I11" s="7"/>
      <c r="J11" s="7" t="s">
        <v>226</v>
      </c>
      <c r="K11" s="7">
        <v>10</v>
      </c>
      <c r="L11" s="7">
        <v>-10</v>
      </c>
      <c r="M11" s="7">
        <v>0.4</v>
      </c>
      <c r="N11" s="7">
        <v>900</v>
      </c>
      <c r="O11" s="7" t="s">
        <v>233</v>
      </c>
      <c r="P11" s="7">
        <v>1</v>
      </c>
      <c r="Q11" s="7">
        <v>0</v>
      </c>
      <c r="R11" s="7">
        <v>0</v>
      </c>
      <c r="S11" s="7" t="s">
        <v>242</v>
      </c>
    </row>
    <row r="12" spans="1:19" ht="36" customHeight="1" x14ac:dyDescent="0.3">
      <c r="A12" s="7" t="s">
        <v>243</v>
      </c>
      <c r="B12" s="8" t="s">
        <v>153</v>
      </c>
      <c r="C12" s="7" t="s">
        <v>86</v>
      </c>
      <c r="D12" s="8" t="s">
        <v>4</v>
      </c>
      <c r="E12" s="8" t="s">
        <v>244</v>
      </c>
      <c r="F12" s="7" t="s">
        <v>245</v>
      </c>
      <c r="G12" s="7"/>
      <c r="H12" s="7"/>
      <c r="I12" s="7"/>
      <c r="J12" s="7" t="s">
        <v>226</v>
      </c>
      <c r="K12" s="7">
        <v>40</v>
      </c>
      <c r="L12" s="7">
        <v>20</v>
      </c>
      <c r="M12" s="7">
        <v>0.4</v>
      </c>
      <c r="N12" s="7">
        <v>900</v>
      </c>
      <c r="O12" s="7" t="s">
        <v>246</v>
      </c>
      <c r="P12" s="7">
        <v>1</v>
      </c>
      <c r="Q12" s="7">
        <v>1</v>
      </c>
      <c r="R12" s="7">
        <v>1</v>
      </c>
      <c r="S12" s="7" t="s">
        <v>247</v>
      </c>
    </row>
    <row r="13" spans="1:19" ht="36" customHeight="1" x14ac:dyDescent="0.3">
      <c r="A13" s="7" t="s">
        <v>248</v>
      </c>
      <c r="B13" s="8" t="s">
        <v>160</v>
      </c>
      <c r="C13" s="7" t="s">
        <v>86</v>
      </c>
      <c r="D13" s="8" t="s">
        <v>4</v>
      </c>
      <c r="E13" s="8" t="s">
        <v>249</v>
      </c>
      <c r="F13" s="7" t="s">
        <v>250</v>
      </c>
      <c r="G13" s="7"/>
      <c r="H13" s="7"/>
      <c r="I13" s="7"/>
      <c r="J13" s="7" t="s">
        <v>251</v>
      </c>
      <c r="K13" s="7">
        <v>10</v>
      </c>
      <c r="L13" s="7">
        <v>5</v>
      </c>
      <c r="M13" s="7">
        <v>0.4</v>
      </c>
      <c r="N13" s="7">
        <v>700</v>
      </c>
      <c r="O13" s="7" t="s">
        <v>226</v>
      </c>
      <c r="P13" s="7">
        <v>1</v>
      </c>
      <c r="Q13" s="7">
        <v>1</v>
      </c>
      <c r="R13" s="7">
        <v>0</v>
      </c>
      <c r="S13" s="7" t="s">
        <v>252</v>
      </c>
    </row>
    <row r="14" spans="1:19" ht="36" customHeight="1" x14ac:dyDescent="0.3">
      <c r="A14" s="7" t="s">
        <v>253</v>
      </c>
      <c r="B14" s="8" t="s">
        <v>171</v>
      </c>
      <c r="C14" s="7" t="s">
        <v>82</v>
      </c>
      <c r="D14" s="8" t="s">
        <v>4</v>
      </c>
      <c r="E14" s="8" t="s">
        <v>254</v>
      </c>
      <c r="F14" s="7" t="s">
        <v>255</v>
      </c>
      <c r="G14" s="7"/>
      <c r="H14" s="7"/>
      <c r="I14" s="7"/>
      <c r="J14" s="7" t="s">
        <v>246</v>
      </c>
      <c r="K14" s="7">
        <v>10</v>
      </c>
      <c r="L14" s="7">
        <v>5</v>
      </c>
      <c r="M14" s="7">
        <v>0.2</v>
      </c>
      <c r="N14" s="7">
        <v>900</v>
      </c>
      <c r="O14" s="7" t="s">
        <v>251</v>
      </c>
      <c r="P14" s="7">
        <v>0</v>
      </c>
      <c r="Q14" s="7">
        <v>1</v>
      </c>
      <c r="R14" s="7">
        <v>1</v>
      </c>
      <c r="S14" s="7" t="s">
        <v>256</v>
      </c>
    </row>
    <row r="15" spans="1:19" ht="36" customHeight="1" x14ac:dyDescent="0.3">
      <c r="A15" s="7" t="s">
        <v>257</v>
      </c>
      <c r="B15" s="8" t="s">
        <v>178</v>
      </c>
      <c r="C15" s="7" t="s">
        <v>52</v>
      </c>
      <c r="D15" s="8" t="s">
        <v>4</v>
      </c>
      <c r="E15" s="8" t="s">
        <v>231</v>
      </c>
      <c r="F15" s="7" t="s">
        <v>232</v>
      </c>
      <c r="G15" s="7"/>
      <c r="H15" s="7"/>
      <c r="I15" s="7"/>
      <c r="J15" s="7" t="s">
        <v>214</v>
      </c>
      <c r="K15" s="7">
        <v>10</v>
      </c>
      <c r="L15" s="7">
        <v>0</v>
      </c>
      <c r="M15" s="7">
        <v>0.36</v>
      </c>
      <c r="N15" s="7">
        <v>0</v>
      </c>
      <c r="O15" s="7" t="s">
        <v>214</v>
      </c>
      <c r="P15" s="7">
        <v>1</v>
      </c>
      <c r="Q15" s="7">
        <v>0</v>
      </c>
      <c r="R15" s="7">
        <v>0</v>
      </c>
      <c r="S15" s="7" t="s">
        <v>258</v>
      </c>
    </row>
    <row r="16" spans="1:19" ht="36" customHeight="1" x14ac:dyDescent="0.3">
      <c r="A16" s="7" t="s">
        <v>259</v>
      </c>
      <c r="B16" s="8" t="s">
        <v>184</v>
      </c>
      <c r="C16" s="7" t="s">
        <v>52</v>
      </c>
      <c r="D16" s="8" t="s">
        <v>4</v>
      </c>
      <c r="E16" s="8" t="s">
        <v>260</v>
      </c>
      <c r="F16" s="7" t="s">
        <v>218</v>
      </c>
      <c r="G16" s="7"/>
      <c r="H16" s="7"/>
      <c r="I16" s="7"/>
      <c r="J16" s="7" t="s">
        <v>209</v>
      </c>
      <c r="K16" s="7" t="s">
        <v>261</v>
      </c>
      <c r="L16" s="7" t="s">
        <v>261</v>
      </c>
      <c r="M16" s="7" t="s">
        <v>261</v>
      </c>
      <c r="N16" s="7" t="s">
        <v>261</v>
      </c>
      <c r="O16" s="7" t="s">
        <v>261</v>
      </c>
      <c r="P16" s="7" t="s">
        <v>51</v>
      </c>
      <c r="Q16" s="7" t="s">
        <v>51</v>
      </c>
      <c r="R16" s="7" t="s">
        <v>51</v>
      </c>
      <c r="S16" s="7" t="s">
        <v>262</v>
      </c>
    </row>
    <row r="17" spans="1:19" ht="25.95" customHeight="1" x14ac:dyDescent="0.3">
      <c r="A17" s="5" t="s">
        <v>263</v>
      </c>
      <c r="B17" s="6" t="s">
        <v>115</v>
      </c>
      <c r="C17" s="5" t="s">
        <v>78</v>
      </c>
      <c r="D17" s="6" t="s">
        <v>4</v>
      </c>
      <c r="E17" s="6" t="s">
        <v>264</v>
      </c>
      <c r="F17" s="5" t="s">
        <v>265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 t="s">
        <v>266</v>
      </c>
    </row>
    <row r="18" spans="1:19" ht="25.95" customHeight="1" x14ac:dyDescent="0.3">
      <c r="A18" s="5" t="s">
        <v>267</v>
      </c>
      <c r="B18" s="6" t="s">
        <v>119</v>
      </c>
      <c r="C18" s="5" t="s">
        <v>78</v>
      </c>
      <c r="D18" s="6" t="s">
        <v>4</v>
      </c>
      <c r="E18" s="6" t="s">
        <v>264</v>
      </c>
      <c r="F18" s="5" t="s">
        <v>265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 t="s">
        <v>266</v>
      </c>
    </row>
    <row r="19" spans="1:19" ht="25.95" customHeight="1" x14ac:dyDescent="0.3">
      <c r="A19" s="5" t="s">
        <v>268</v>
      </c>
      <c r="B19" s="6" t="s">
        <v>122</v>
      </c>
      <c r="C19" s="5" t="s">
        <v>78</v>
      </c>
      <c r="D19" s="6" t="s">
        <v>4</v>
      </c>
      <c r="E19" s="6" t="s">
        <v>264</v>
      </c>
      <c r="F19" s="5" t="s">
        <v>265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 t="s">
        <v>266</v>
      </c>
    </row>
    <row r="20" spans="1:19" ht="25.95" customHeight="1" x14ac:dyDescent="0.3">
      <c r="A20" s="5" t="s">
        <v>269</v>
      </c>
      <c r="B20" s="6" t="s">
        <v>129</v>
      </c>
      <c r="C20" s="5" t="s">
        <v>82</v>
      </c>
      <c r="D20" s="6" t="s">
        <v>4</v>
      </c>
      <c r="E20" s="6" t="s">
        <v>240</v>
      </c>
      <c r="F20" s="5" t="s">
        <v>241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 t="s">
        <v>266</v>
      </c>
    </row>
    <row r="21" spans="1:19" ht="25.95" customHeight="1" x14ac:dyDescent="0.3">
      <c r="A21" s="5" t="s">
        <v>270</v>
      </c>
      <c r="B21" s="6" t="s">
        <v>132</v>
      </c>
      <c r="C21" s="5" t="s">
        <v>82</v>
      </c>
      <c r="D21" s="6" t="s">
        <v>4</v>
      </c>
      <c r="E21" s="6" t="s">
        <v>240</v>
      </c>
      <c r="F21" s="5" t="s">
        <v>241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 t="s">
        <v>266</v>
      </c>
    </row>
    <row r="22" spans="1:19" ht="25.95" customHeight="1" x14ac:dyDescent="0.3">
      <c r="A22" s="5" t="s">
        <v>271</v>
      </c>
      <c r="B22" s="6" t="s">
        <v>135</v>
      </c>
      <c r="C22" s="5" t="s">
        <v>82</v>
      </c>
      <c r="D22" s="6" t="s">
        <v>4</v>
      </c>
      <c r="E22" s="6" t="s">
        <v>240</v>
      </c>
      <c r="F22" s="5" t="s">
        <v>241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 t="s">
        <v>266</v>
      </c>
    </row>
    <row r="23" spans="1:19" ht="25.95" customHeight="1" x14ac:dyDescent="0.3">
      <c r="A23" s="5" t="s">
        <v>272</v>
      </c>
      <c r="B23" s="6" t="s">
        <v>138</v>
      </c>
      <c r="C23" s="5" t="s">
        <v>82</v>
      </c>
      <c r="D23" s="6" t="s">
        <v>4</v>
      </c>
      <c r="E23" s="6" t="s">
        <v>240</v>
      </c>
      <c r="F23" s="5" t="s">
        <v>241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 t="s">
        <v>266</v>
      </c>
    </row>
    <row r="24" spans="1:19" ht="25.95" customHeight="1" x14ac:dyDescent="0.3">
      <c r="A24" s="5" t="s">
        <v>273</v>
      </c>
      <c r="B24" s="6" t="s">
        <v>141</v>
      </c>
      <c r="C24" s="5" t="s">
        <v>82</v>
      </c>
      <c r="D24" s="6" t="s">
        <v>4</v>
      </c>
      <c r="E24" s="6" t="s">
        <v>240</v>
      </c>
      <c r="F24" s="5" t="s">
        <v>241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 t="s">
        <v>266</v>
      </c>
    </row>
    <row r="25" spans="1:19" ht="25.95" customHeight="1" x14ac:dyDescent="0.3">
      <c r="A25" s="5" t="s">
        <v>274</v>
      </c>
      <c r="B25" s="6" t="s">
        <v>144</v>
      </c>
      <c r="C25" s="5" t="s">
        <v>82</v>
      </c>
      <c r="D25" s="6" t="s">
        <v>4</v>
      </c>
      <c r="E25" s="6" t="s">
        <v>240</v>
      </c>
      <c r="F25" s="5" t="s">
        <v>241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 t="s">
        <v>266</v>
      </c>
    </row>
    <row r="26" spans="1:19" ht="25.95" customHeight="1" x14ac:dyDescent="0.3">
      <c r="A26" s="5" t="s">
        <v>275</v>
      </c>
      <c r="B26" s="6" t="s">
        <v>147</v>
      </c>
      <c r="C26" s="5" t="s">
        <v>82</v>
      </c>
      <c r="D26" s="6" t="s">
        <v>4</v>
      </c>
      <c r="E26" s="6" t="s">
        <v>240</v>
      </c>
      <c r="F26" s="5" t="s">
        <v>241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 t="s">
        <v>266</v>
      </c>
    </row>
    <row r="27" spans="1:19" ht="25.95" customHeight="1" x14ac:dyDescent="0.3">
      <c r="A27" s="5" t="s">
        <v>276</v>
      </c>
      <c r="B27" s="6" t="s">
        <v>150</v>
      </c>
      <c r="C27" s="5" t="s">
        <v>82</v>
      </c>
      <c r="D27" s="6" t="s">
        <v>4</v>
      </c>
      <c r="E27" s="6" t="s">
        <v>240</v>
      </c>
      <c r="F27" s="5" t="s">
        <v>241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 t="s">
        <v>266</v>
      </c>
    </row>
    <row r="28" spans="1:19" ht="25.95" customHeight="1" x14ac:dyDescent="0.3">
      <c r="A28" s="5" t="s">
        <v>277</v>
      </c>
      <c r="B28" s="6" t="s">
        <v>157</v>
      </c>
      <c r="C28" s="5" t="s">
        <v>86</v>
      </c>
      <c r="D28" s="6" t="s">
        <v>4</v>
      </c>
      <c r="E28" s="6" t="s">
        <v>244</v>
      </c>
      <c r="F28" s="5" t="s">
        <v>245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 t="s">
        <v>266</v>
      </c>
    </row>
    <row r="29" spans="1:19" ht="25.95" customHeight="1" x14ac:dyDescent="0.3">
      <c r="A29" s="5" t="s">
        <v>278</v>
      </c>
      <c r="B29" s="6" t="s">
        <v>164</v>
      </c>
      <c r="C29" s="5" t="s">
        <v>82</v>
      </c>
      <c r="D29" s="6" t="s">
        <v>4</v>
      </c>
      <c r="E29" s="6" t="s">
        <v>279</v>
      </c>
      <c r="F29" s="5" t="s">
        <v>280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 t="s">
        <v>266</v>
      </c>
    </row>
    <row r="30" spans="1:19" ht="25.95" customHeight="1" x14ac:dyDescent="0.3">
      <c r="A30" s="5" t="s">
        <v>281</v>
      </c>
      <c r="B30" s="6" t="s">
        <v>167</v>
      </c>
      <c r="C30" s="5" t="s">
        <v>86</v>
      </c>
      <c r="D30" s="6" t="s">
        <v>4</v>
      </c>
      <c r="E30" s="6" t="s">
        <v>249</v>
      </c>
      <c r="F30" s="5" t="s">
        <v>250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 t="s">
        <v>266</v>
      </c>
    </row>
    <row r="31" spans="1:19" ht="25.95" customHeight="1" x14ac:dyDescent="0.3">
      <c r="A31" s="5" t="s">
        <v>282</v>
      </c>
      <c r="B31" s="6" t="s">
        <v>47</v>
      </c>
      <c r="C31" s="5" t="s">
        <v>52</v>
      </c>
      <c r="D31" s="6" t="s">
        <v>4</v>
      </c>
      <c r="E31" s="6" t="s">
        <v>283</v>
      </c>
      <c r="F31" s="5" t="s">
        <v>218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 t="s">
        <v>266</v>
      </c>
    </row>
    <row r="32" spans="1:19" ht="25.95" customHeight="1" x14ac:dyDescent="0.3">
      <c r="A32" s="5" t="s">
        <v>284</v>
      </c>
      <c r="B32" s="6" t="s">
        <v>53</v>
      </c>
      <c r="C32" s="5" t="s">
        <v>52</v>
      </c>
      <c r="D32" s="6" t="s">
        <v>4</v>
      </c>
      <c r="E32" s="6" t="s">
        <v>285</v>
      </c>
      <c r="F32" s="5" t="s">
        <v>213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 t="s">
        <v>266</v>
      </c>
    </row>
    <row r="33" spans="1:19" ht="25.95" customHeight="1" x14ac:dyDescent="0.3">
      <c r="A33" s="5" t="s">
        <v>286</v>
      </c>
      <c r="B33" s="6" t="s">
        <v>56</v>
      </c>
      <c r="C33" s="5" t="s">
        <v>52</v>
      </c>
      <c r="D33" s="6" t="s">
        <v>6</v>
      </c>
      <c r="E33" s="6" t="s">
        <v>287</v>
      </c>
      <c r="F33" s="5" t="s">
        <v>288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 t="s">
        <v>266</v>
      </c>
    </row>
    <row r="34" spans="1:19" ht="25.95" customHeight="1" x14ac:dyDescent="0.3">
      <c r="A34" s="5" t="s">
        <v>289</v>
      </c>
      <c r="B34" s="6" t="s">
        <v>66</v>
      </c>
      <c r="C34" s="5" t="s">
        <v>70</v>
      </c>
      <c r="D34" s="6" t="s">
        <v>4</v>
      </c>
      <c r="E34" s="6" t="s">
        <v>222</v>
      </c>
      <c r="F34" s="5" t="s">
        <v>223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 t="s">
        <v>266</v>
      </c>
    </row>
    <row r="35" spans="1:19" ht="25.95" customHeight="1" x14ac:dyDescent="0.3">
      <c r="A35" s="5" t="s">
        <v>290</v>
      </c>
      <c r="B35" s="6" t="s">
        <v>71</v>
      </c>
      <c r="C35" s="5" t="s">
        <v>74</v>
      </c>
      <c r="D35" s="6" t="s">
        <v>4</v>
      </c>
      <c r="E35" s="6" t="s">
        <v>231</v>
      </c>
      <c r="F35" s="5" t="s">
        <v>232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 t="s">
        <v>266</v>
      </c>
    </row>
    <row r="36" spans="1:19" ht="25.95" customHeight="1" x14ac:dyDescent="0.3">
      <c r="A36" s="5" t="s">
        <v>291</v>
      </c>
      <c r="B36" s="6" t="s">
        <v>75</v>
      </c>
      <c r="C36" s="5" t="s">
        <v>78</v>
      </c>
      <c r="D36" s="6" t="s">
        <v>4</v>
      </c>
      <c r="E36" s="6" t="s">
        <v>264</v>
      </c>
      <c r="F36" s="5" t="s">
        <v>265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 t="s">
        <v>266</v>
      </c>
    </row>
    <row r="37" spans="1:19" ht="25.95" customHeight="1" x14ac:dyDescent="0.3">
      <c r="A37" s="5" t="s">
        <v>292</v>
      </c>
      <c r="B37" s="6" t="s">
        <v>79</v>
      </c>
      <c r="C37" s="5" t="s">
        <v>82</v>
      </c>
      <c r="D37" s="6" t="s">
        <v>4</v>
      </c>
      <c r="E37" s="6" t="s">
        <v>240</v>
      </c>
      <c r="F37" s="5" t="s">
        <v>241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 t="s">
        <v>266</v>
      </c>
    </row>
    <row r="38" spans="1:19" ht="25.95" customHeight="1" x14ac:dyDescent="0.3">
      <c r="A38" s="5" t="s">
        <v>293</v>
      </c>
      <c r="B38" s="6" t="s">
        <v>83</v>
      </c>
      <c r="C38" s="5" t="s">
        <v>86</v>
      </c>
      <c r="D38" s="6" t="s">
        <v>4</v>
      </c>
      <c r="E38" s="6" t="s">
        <v>244</v>
      </c>
      <c r="F38" s="5" t="s">
        <v>245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 t="s">
        <v>266</v>
      </c>
    </row>
    <row r="39" spans="1:19" ht="25.95" customHeight="1" x14ac:dyDescent="0.3">
      <c r="A39" s="5" t="s">
        <v>294</v>
      </c>
      <c r="B39" s="6" t="s">
        <v>87</v>
      </c>
      <c r="C39" s="5" t="s">
        <v>295</v>
      </c>
      <c r="D39" s="6" t="s">
        <v>4</v>
      </c>
      <c r="E39" s="6" t="s">
        <v>279</v>
      </c>
      <c r="F39" s="5" t="s">
        <v>280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 t="s">
        <v>266</v>
      </c>
    </row>
    <row r="40" spans="1:19" ht="25.95" customHeight="1" x14ac:dyDescent="0.3">
      <c r="A40" s="5" t="s">
        <v>296</v>
      </c>
      <c r="B40" s="6" t="s">
        <v>91</v>
      </c>
      <c r="C40" s="5" t="s">
        <v>295</v>
      </c>
      <c r="D40" s="6" t="s">
        <v>4</v>
      </c>
      <c r="E40" s="6" t="s">
        <v>254</v>
      </c>
      <c r="F40" s="5" t="s">
        <v>255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 t="s">
        <v>266</v>
      </c>
    </row>
    <row r="41" spans="1:19" ht="25.95" customHeight="1" x14ac:dyDescent="0.3">
      <c r="A41" s="5" t="s">
        <v>297</v>
      </c>
      <c r="B41" s="6" t="s">
        <v>174</v>
      </c>
      <c r="C41" s="5" t="s">
        <v>52</v>
      </c>
      <c r="D41" s="6" t="s">
        <v>298</v>
      </c>
      <c r="E41" s="6" t="s">
        <v>299</v>
      </c>
      <c r="F41" s="5" t="s">
        <v>298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 t="s">
        <v>266</v>
      </c>
    </row>
    <row r="42" spans="1:19" ht="25.95" customHeight="1" x14ac:dyDescent="0.3">
      <c r="A42" s="5" t="s">
        <v>300</v>
      </c>
      <c r="B42" s="6" t="s">
        <v>181</v>
      </c>
      <c r="C42" s="5" t="s">
        <v>52</v>
      </c>
      <c r="D42" s="6" t="s">
        <v>298</v>
      </c>
      <c r="E42" s="6" t="s">
        <v>301</v>
      </c>
      <c r="F42" s="5" t="s">
        <v>298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 t="s">
        <v>266</v>
      </c>
    </row>
    <row r="43" spans="1:19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19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19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19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19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9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19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50" customWidth="1"/>
    <col min="3" max="3" width="32" customWidth="1"/>
    <col min="4" max="4" width="22" customWidth="1"/>
    <col min="5" max="5" width="12" customWidth="1"/>
    <col min="6" max="7" width="18" customWidth="1"/>
    <col min="8" max="8" width="28" customWidth="1"/>
    <col min="9" max="9" width="10" customWidth="1"/>
    <col min="10" max="10" width="22" customWidth="1"/>
  </cols>
  <sheetData>
    <row r="1" spans="1:10" ht="31.95" customHeight="1" x14ac:dyDescent="0.3">
      <c r="A1" s="4" t="s">
        <v>38</v>
      </c>
      <c r="B1" s="4" t="s">
        <v>41</v>
      </c>
      <c r="C1" s="4" t="s">
        <v>302</v>
      </c>
      <c r="D1" s="4" t="s">
        <v>303</v>
      </c>
      <c r="E1" s="4" t="s">
        <v>304</v>
      </c>
      <c r="F1" s="4" t="s">
        <v>305</v>
      </c>
      <c r="G1" s="4" t="s">
        <v>306</v>
      </c>
      <c r="H1" s="4" t="s">
        <v>192</v>
      </c>
      <c r="I1" s="4" t="s">
        <v>194</v>
      </c>
      <c r="J1" s="4" t="s">
        <v>307</v>
      </c>
    </row>
    <row r="2" spans="1:10" ht="25.95" customHeight="1" x14ac:dyDescent="0.3">
      <c r="A2" s="5" t="s">
        <v>47</v>
      </c>
      <c r="B2" s="6" t="s">
        <v>50</v>
      </c>
      <c r="C2" s="5" t="s">
        <v>206</v>
      </c>
      <c r="D2" s="6" t="s">
        <v>4</v>
      </c>
      <c r="E2" s="6" t="s">
        <v>207</v>
      </c>
      <c r="F2" s="5" t="s">
        <v>306</v>
      </c>
      <c r="G2" s="5" t="s">
        <v>205</v>
      </c>
      <c r="H2" s="5"/>
      <c r="I2" s="5"/>
      <c r="J2" s="5"/>
    </row>
    <row r="3" spans="1:10" ht="25.95" customHeight="1" x14ac:dyDescent="0.3">
      <c r="A3" s="5" t="s">
        <v>47</v>
      </c>
      <c r="B3" s="6" t="s">
        <v>50</v>
      </c>
      <c r="C3" s="5" t="s">
        <v>283</v>
      </c>
      <c r="D3" s="6" t="s">
        <v>4</v>
      </c>
      <c r="E3" s="6" t="s">
        <v>218</v>
      </c>
      <c r="F3" s="5" t="s">
        <v>306</v>
      </c>
      <c r="G3" s="5" t="s">
        <v>282</v>
      </c>
      <c r="H3" s="5"/>
      <c r="I3" s="5"/>
      <c r="J3" s="5"/>
    </row>
    <row r="4" spans="1:10" ht="25.95" customHeight="1" x14ac:dyDescent="0.3">
      <c r="A4" s="5" t="s">
        <v>53</v>
      </c>
      <c r="B4" s="6" t="s">
        <v>55</v>
      </c>
      <c r="C4" s="5" t="s">
        <v>212</v>
      </c>
      <c r="D4" s="6" t="s">
        <v>4</v>
      </c>
      <c r="E4" s="6" t="s">
        <v>213</v>
      </c>
      <c r="F4" s="5" t="s">
        <v>306</v>
      </c>
      <c r="G4" s="5" t="s">
        <v>211</v>
      </c>
      <c r="H4" s="5"/>
      <c r="I4" s="5"/>
      <c r="J4" s="5"/>
    </row>
    <row r="5" spans="1:10" ht="25.95" customHeight="1" x14ac:dyDescent="0.3">
      <c r="A5" s="5" t="s">
        <v>53</v>
      </c>
      <c r="B5" s="6" t="s">
        <v>55</v>
      </c>
      <c r="C5" s="5" t="s">
        <v>285</v>
      </c>
      <c r="D5" s="6" t="s">
        <v>4</v>
      </c>
      <c r="E5" s="6" t="s">
        <v>213</v>
      </c>
      <c r="F5" s="5" t="s">
        <v>306</v>
      </c>
      <c r="G5" s="5" t="s">
        <v>284</v>
      </c>
      <c r="H5" s="5"/>
      <c r="I5" s="5"/>
      <c r="J5" s="5"/>
    </row>
    <row r="6" spans="1:10" ht="25.95" customHeight="1" x14ac:dyDescent="0.3">
      <c r="A6" s="5" t="s">
        <v>56</v>
      </c>
      <c r="B6" s="6" t="s">
        <v>58</v>
      </c>
      <c r="C6" s="5" t="s">
        <v>222</v>
      </c>
      <c r="D6" s="6" t="s">
        <v>4</v>
      </c>
      <c r="E6" s="6" t="s">
        <v>223</v>
      </c>
      <c r="F6" s="5" t="s">
        <v>306</v>
      </c>
      <c r="G6" s="5" t="s">
        <v>221</v>
      </c>
      <c r="H6" s="5"/>
      <c r="I6" s="5"/>
      <c r="J6" s="5"/>
    </row>
    <row r="7" spans="1:10" ht="25.95" customHeight="1" x14ac:dyDescent="0.3">
      <c r="A7" s="5" t="s">
        <v>56</v>
      </c>
      <c r="B7" s="6" t="s">
        <v>58</v>
      </c>
      <c r="C7" s="5" t="s">
        <v>287</v>
      </c>
      <c r="D7" s="6" t="s">
        <v>6</v>
      </c>
      <c r="E7" s="6" t="s">
        <v>288</v>
      </c>
      <c r="F7" s="5" t="s">
        <v>306</v>
      </c>
      <c r="G7" s="5" t="s">
        <v>286</v>
      </c>
      <c r="H7" s="5"/>
      <c r="I7" s="5"/>
      <c r="J7" s="5"/>
    </row>
    <row r="8" spans="1:10" ht="25.95" customHeight="1" x14ac:dyDescent="0.3">
      <c r="A8" s="5" t="s">
        <v>59</v>
      </c>
      <c r="B8" s="6" t="s">
        <v>62</v>
      </c>
      <c r="C8" s="5" t="s">
        <v>206</v>
      </c>
      <c r="D8" s="6" t="s">
        <v>4</v>
      </c>
      <c r="E8" s="6" t="s">
        <v>207</v>
      </c>
      <c r="F8" s="5" t="s">
        <v>306</v>
      </c>
      <c r="G8" s="5" t="s">
        <v>205</v>
      </c>
      <c r="H8" s="5"/>
      <c r="I8" s="5"/>
      <c r="J8" s="5"/>
    </row>
    <row r="9" spans="1:10" ht="25.95" customHeight="1" x14ac:dyDescent="0.3">
      <c r="A9" s="5" t="s">
        <v>63</v>
      </c>
      <c r="B9" s="6" t="s">
        <v>65</v>
      </c>
      <c r="C9" s="5" t="s">
        <v>212</v>
      </c>
      <c r="D9" s="6" t="s">
        <v>4</v>
      </c>
      <c r="E9" s="6" t="s">
        <v>213</v>
      </c>
      <c r="F9" s="5" t="s">
        <v>306</v>
      </c>
      <c r="G9" s="5" t="s">
        <v>211</v>
      </c>
      <c r="H9" s="5"/>
      <c r="I9" s="5"/>
      <c r="J9" s="5"/>
    </row>
    <row r="10" spans="1:10" ht="25.95" customHeight="1" x14ac:dyDescent="0.3">
      <c r="A10" s="5" t="s">
        <v>66</v>
      </c>
      <c r="B10" s="6" t="s">
        <v>68</v>
      </c>
      <c r="C10" s="5" t="s">
        <v>222</v>
      </c>
      <c r="D10" s="6" t="s">
        <v>4</v>
      </c>
      <c r="E10" s="6" t="s">
        <v>223</v>
      </c>
      <c r="F10" s="5" t="s">
        <v>306</v>
      </c>
      <c r="G10" s="5" t="s">
        <v>221</v>
      </c>
      <c r="H10" s="5"/>
      <c r="I10" s="5"/>
      <c r="J10" s="5"/>
    </row>
    <row r="11" spans="1:10" ht="25.95" customHeight="1" x14ac:dyDescent="0.3">
      <c r="A11" s="5" t="s">
        <v>66</v>
      </c>
      <c r="B11" s="6" t="s">
        <v>68</v>
      </c>
      <c r="C11" s="5" t="s">
        <v>222</v>
      </c>
      <c r="D11" s="6" t="s">
        <v>4</v>
      </c>
      <c r="E11" s="6" t="s">
        <v>223</v>
      </c>
      <c r="F11" s="5" t="s">
        <v>306</v>
      </c>
      <c r="G11" s="5" t="s">
        <v>225</v>
      </c>
      <c r="H11" s="5"/>
      <c r="I11" s="5"/>
      <c r="J11" s="5"/>
    </row>
    <row r="12" spans="1:10" ht="25.95" customHeight="1" x14ac:dyDescent="0.3">
      <c r="A12" s="5" t="s">
        <v>66</v>
      </c>
      <c r="B12" s="6" t="s">
        <v>68</v>
      </c>
      <c r="C12" s="5" t="s">
        <v>222</v>
      </c>
      <c r="D12" s="6" t="s">
        <v>4</v>
      </c>
      <c r="E12" s="6" t="s">
        <v>223</v>
      </c>
      <c r="F12" s="5" t="s">
        <v>306</v>
      </c>
      <c r="G12" s="5" t="s">
        <v>228</v>
      </c>
      <c r="H12" s="5"/>
      <c r="I12" s="5"/>
      <c r="J12" s="5"/>
    </row>
    <row r="13" spans="1:10" ht="25.95" customHeight="1" x14ac:dyDescent="0.3">
      <c r="A13" s="5" t="s">
        <v>66</v>
      </c>
      <c r="B13" s="6" t="s">
        <v>68</v>
      </c>
      <c r="C13" s="5" t="s">
        <v>222</v>
      </c>
      <c r="D13" s="6" t="s">
        <v>4</v>
      </c>
      <c r="E13" s="6" t="s">
        <v>223</v>
      </c>
      <c r="F13" s="5" t="s">
        <v>306</v>
      </c>
      <c r="G13" s="5" t="s">
        <v>289</v>
      </c>
      <c r="H13" s="5"/>
      <c r="I13" s="5"/>
      <c r="J13" s="5"/>
    </row>
    <row r="14" spans="1:10" ht="25.95" customHeight="1" x14ac:dyDescent="0.3">
      <c r="A14" s="5" t="s">
        <v>71</v>
      </c>
      <c r="B14" s="6" t="s">
        <v>73</v>
      </c>
      <c r="C14" s="5" t="s">
        <v>231</v>
      </c>
      <c r="D14" s="6" t="s">
        <v>4</v>
      </c>
      <c r="E14" s="6" t="s">
        <v>232</v>
      </c>
      <c r="F14" s="5" t="s">
        <v>306</v>
      </c>
      <c r="G14" s="5" t="s">
        <v>230</v>
      </c>
      <c r="H14" s="5"/>
      <c r="I14" s="5"/>
      <c r="J14" s="5"/>
    </row>
    <row r="15" spans="1:10" ht="25.95" customHeight="1" x14ac:dyDescent="0.3">
      <c r="A15" s="5" t="s">
        <v>71</v>
      </c>
      <c r="B15" s="6" t="s">
        <v>73</v>
      </c>
      <c r="C15" s="5" t="s">
        <v>231</v>
      </c>
      <c r="D15" s="6" t="s">
        <v>4</v>
      </c>
      <c r="E15" s="6" t="s">
        <v>232</v>
      </c>
      <c r="F15" s="5" t="s">
        <v>306</v>
      </c>
      <c r="G15" s="5" t="s">
        <v>235</v>
      </c>
      <c r="H15" s="5"/>
      <c r="I15" s="5"/>
      <c r="J15" s="5"/>
    </row>
    <row r="16" spans="1:10" ht="25.95" customHeight="1" x14ac:dyDescent="0.3">
      <c r="A16" s="5" t="s">
        <v>71</v>
      </c>
      <c r="B16" s="6" t="s">
        <v>73</v>
      </c>
      <c r="C16" s="5" t="s">
        <v>231</v>
      </c>
      <c r="D16" s="6" t="s">
        <v>4</v>
      </c>
      <c r="E16" s="6" t="s">
        <v>232</v>
      </c>
      <c r="F16" s="5" t="s">
        <v>306</v>
      </c>
      <c r="G16" s="5" t="s">
        <v>237</v>
      </c>
      <c r="H16" s="5"/>
      <c r="I16" s="5"/>
      <c r="J16" s="5"/>
    </row>
    <row r="17" spans="1:10" ht="25.95" customHeight="1" x14ac:dyDescent="0.3">
      <c r="A17" s="5" t="s">
        <v>71</v>
      </c>
      <c r="B17" s="6" t="s">
        <v>73</v>
      </c>
      <c r="C17" s="5" t="s">
        <v>231</v>
      </c>
      <c r="D17" s="6" t="s">
        <v>4</v>
      </c>
      <c r="E17" s="6" t="s">
        <v>232</v>
      </c>
      <c r="F17" s="5" t="s">
        <v>306</v>
      </c>
      <c r="G17" s="5" t="s">
        <v>257</v>
      </c>
      <c r="H17" s="5"/>
      <c r="I17" s="5"/>
      <c r="J17" s="5"/>
    </row>
    <row r="18" spans="1:10" ht="25.95" customHeight="1" x14ac:dyDescent="0.3">
      <c r="A18" s="5" t="s">
        <v>71</v>
      </c>
      <c r="B18" s="6" t="s">
        <v>73</v>
      </c>
      <c r="C18" s="5" t="s">
        <v>231</v>
      </c>
      <c r="D18" s="6" t="s">
        <v>4</v>
      </c>
      <c r="E18" s="6" t="s">
        <v>232</v>
      </c>
      <c r="F18" s="5" t="s">
        <v>306</v>
      </c>
      <c r="G18" s="5" t="s">
        <v>290</v>
      </c>
      <c r="H18" s="5"/>
      <c r="I18" s="5"/>
      <c r="J18" s="5"/>
    </row>
    <row r="19" spans="1:10" ht="25.95" customHeight="1" x14ac:dyDescent="0.3">
      <c r="A19" s="5" t="s">
        <v>75</v>
      </c>
      <c r="B19" s="6" t="s">
        <v>77</v>
      </c>
      <c r="C19" s="5" t="s">
        <v>264</v>
      </c>
      <c r="D19" s="6" t="s">
        <v>4</v>
      </c>
      <c r="E19" s="6" t="s">
        <v>265</v>
      </c>
      <c r="F19" s="5" t="s">
        <v>306</v>
      </c>
      <c r="G19" s="5" t="s">
        <v>263</v>
      </c>
      <c r="H19" s="5"/>
      <c r="I19" s="5"/>
      <c r="J19" s="5"/>
    </row>
    <row r="20" spans="1:10" ht="25.95" customHeight="1" x14ac:dyDescent="0.3">
      <c r="A20" s="5" t="s">
        <v>75</v>
      </c>
      <c r="B20" s="6" t="s">
        <v>77</v>
      </c>
      <c r="C20" s="5" t="s">
        <v>264</v>
      </c>
      <c r="D20" s="6" t="s">
        <v>4</v>
      </c>
      <c r="E20" s="6" t="s">
        <v>265</v>
      </c>
      <c r="F20" s="5" t="s">
        <v>306</v>
      </c>
      <c r="G20" s="5" t="s">
        <v>267</v>
      </c>
      <c r="H20" s="5"/>
      <c r="I20" s="5"/>
      <c r="J20" s="5"/>
    </row>
    <row r="21" spans="1:10" ht="25.95" customHeight="1" x14ac:dyDescent="0.3">
      <c r="A21" s="5" t="s">
        <v>75</v>
      </c>
      <c r="B21" s="6" t="s">
        <v>77</v>
      </c>
      <c r="C21" s="5" t="s">
        <v>264</v>
      </c>
      <c r="D21" s="6" t="s">
        <v>4</v>
      </c>
      <c r="E21" s="6" t="s">
        <v>265</v>
      </c>
      <c r="F21" s="5" t="s">
        <v>306</v>
      </c>
      <c r="G21" s="5" t="s">
        <v>268</v>
      </c>
      <c r="H21" s="5"/>
      <c r="I21" s="5"/>
      <c r="J21" s="5"/>
    </row>
    <row r="22" spans="1:10" ht="25.95" customHeight="1" x14ac:dyDescent="0.3">
      <c r="A22" s="5" t="s">
        <v>75</v>
      </c>
      <c r="B22" s="6" t="s">
        <v>77</v>
      </c>
      <c r="C22" s="5" t="s">
        <v>264</v>
      </c>
      <c r="D22" s="6" t="s">
        <v>4</v>
      </c>
      <c r="E22" s="6" t="s">
        <v>265</v>
      </c>
      <c r="F22" s="5" t="s">
        <v>306</v>
      </c>
      <c r="G22" s="5" t="s">
        <v>291</v>
      </c>
      <c r="H22" s="5"/>
      <c r="I22" s="5"/>
      <c r="J22" s="5"/>
    </row>
    <row r="23" spans="1:10" ht="25.95" customHeight="1" x14ac:dyDescent="0.3">
      <c r="A23" s="5" t="s">
        <v>79</v>
      </c>
      <c r="B23" s="6" t="s">
        <v>81</v>
      </c>
      <c r="C23" s="5" t="s">
        <v>240</v>
      </c>
      <c r="D23" s="6" t="s">
        <v>4</v>
      </c>
      <c r="E23" s="6" t="s">
        <v>241</v>
      </c>
      <c r="F23" s="5" t="s">
        <v>306</v>
      </c>
      <c r="G23" s="5" t="s">
        <v>239</v>
      </c>
      <c r="H23" s="5"/>
      <c r="I23" s="5"/>
      <c r="J23" s="5"/>
    </row>
    <row r="24" spans="1:10" ht="25.95" customHeight="1" x14ac:dyDescent="0.3">
      <c r="A24" s="5" t="s">
        <v>79</v>
      </c>
      <c r="B24" s="6" t="s">
        <v>81</v>
      </c>
      <c r="C24" s="5" t="s">
        <v>240</v>
      </c>
      <c r="D24" s="6" t="s">
        <v>4</v>
      </c>
      <c r="E24" s="6" t="s">
        <v>241</v>
      </c>
      <c r="F24" s="5" t="s">
        <v>306</v>
      </c>
      <c r="G24" s="5" t="s">
        <v>269</v>
      </c>
      <c r="H24" s="5"/>
      <c r="I24" s="5"/>
      <c r="J24" s="5"/>
    </row>
    <row r="25" spans="1:10" ht="25.95" customHeight="1" x14ac:dyDescent="0.3">
      <c r="A25" s="5" t="s">
        <v>79</v>
      </c>
      <c r="B25" s="6" t="s">
        <v>81</v>
      </c>
      <c r="C25" s="5" t="s">
        <v>240</v>
      </c>
      <c r="D25" s="6" t="s">
        <v>4</v>
      </c>
      <c r="E25" s="6" t="s">
        <v>241</v>
      </c>
      <c r="F25" s="5" t="s">
        <v>306</v>
      </c>
      <c r="G25" s="5" t="s">
        <v>270</v>
      </c>
      <c r="H25" s="5"/>
      <c r="I25" s="5"/>
      <c r="J25" s="5"/>
    </row>
    <row r="26" spans="1:10" ht="25.95" customHeight="1" x14ac:dyDescent="0.3">
      <c r="A26" s="5" t="s">
        <v>79</v>
      </c>
      <c r="B26" s="6" t="s">
        <v>81</v>
      </c>
      <c r="C26" s="5" t="s">
        <v>240</v>
      </c>
      <c r="D26" s="6" t="s">
        <v>4</v>
      </c>
      <c r="E26" s="6" t="s">
        <v>241</v>
      </c>
      <c r="F26" s="5" t="s">
        <v>306</v>
      </c>
      <c r="G26" s="5" t="s">
        <v>271</v>
      </c>
      <c r="H26" s="5"/>
      <c r="I26" s="5"/>
      <c r="J26" s="5"/>
    </row>
    <row r="27" spans="1:10" ht="25.95" customHeight="1" x14ac:dyDescent="0.3">
      <c r="A27" s="5" t="s">
        <v>79</v>
      </c>
      <c r="B27" s="6" t="s">
        <v>81</v>
      </c>
      <c r="C27" s="5" t="s">
        <v>240</v>
      </c>
      <c r="D27" s="6" t="s">
        <v>4</v>
      </c>
      <c r="E27" s="6" t="s">
        <v>241</v>
      </c>
      <c r="F27" s="5" t="s">
        <v>306</v>
      </c>
      <c r="G27" s="5" t="s">
        <v>272</v>
      </c>
      <c r="H27" s="5"/>
      <c r="I27" s="5"/>
      <c r="J27" s="5"/>
    </row>
    <row r="28" spans="1:10" ht="25.95" customHeight="1" x14ac:dyDescent="0.3">
      <c r="A28" s="5" t="s">
        <v>79</v>
      </c>
      <c r="B28" s="6" t="s">
        <v>81</v>
      </c>
      <c r="C28" s="5" t="s">
        <v>240</v>
      </c>
      <c r="D28" s="6" t="s">
        <v>4</v>
      </c>
      <c r="E28" s="6" t="s">
        <v>241</v>
      </c>
      <c r="F28" s="5" t="s">
        <v>306</v>
      </c>
      <c r="G28" s="5" t="s">
        <v>273</v>
      </c>
      <c r="H28" s="5"/>
      <c r="I28" s="5"/>
      <c r="J28" s="5"/>
    </row>
    <row r="29" spans="1:10" ht="25.95" customHeight="1" x14ac:dyDescent="0.3">
      <c r="A29" s="5" t="s">
        <v>79</v>
      </c>
      <c r="B29" s="6" t="s">
        <v>81</v>
      </c>
      <c r="C29" s="5" t="s">
        <v>240</v>
      </c>
      <c r="D29" s="6" t="s">
        <v>4</v>
      </c>
      <c r="E29" s="6" t="s">
        <v>241</v>
      </c>
      <c r="F29" s="5" t="s">
        <v>306</v>
      </c>
      <c r="G29" s="5" t="s">
        <v>274</v>
      </c>
      <c r="H29" s="5"/>
      <c r="I29" s="5"/>
      <c r="J29" s="5"/>
    </row>
    <row r="30" spans="1:10" ht="25.95" customHeight="1" x14ac:dyDescent="0.3">
      <c r="A30" s="5" t="s">
        <v>79</v>
      </c>
      <c r="B30" s="6" t="s">
        <v>81</v>
      </c>
      <c r="C30" s="5" t="s">
        <v>240</v>
      </c>
      <c r="D30" s="6" t="s">
        <v>4</v>
      </c>
      <c r="E30" s="6" t="s">
        <v>241</v>
      </c>
      <c r="F30" s="5" t="s">
        <v>306</v>
      </c>
      <c r="G30" s="5" t="s">
        <v>275</v>
      </c>
      <c r="H30" s="5"/>
      <c r="I30" s="5"/>
      <c r="J30" s="5"/>
    </row>
    <row r="31" spans="1:10" ht="25.95" customHeight="1" x14ac:dyDescent="0.3">
      <c r="A31" s="5" t="s">
        <v>79</v>
      </c>
      <c r="B31" s="6" t="s">
        <v>81</v>
      </c>
      <c r="C31" s="5" t="s">
        <v>240</v>
      </c>
      <c r="D31" s="6" t="s">
        <v>4</v>
      </c>
      <c r="E31" s="6" t="s">
        <v>241</v>
      </c>
      <c r="F31" s="5" t="s">
        <v>306</v>
      </c>
      <c r="G31" s="5" t="s">
        <v>276</v>
      </c>
      <c r="H31" s="5"/>
      <c r="I31" s="5"/>
      <c r="J31" s="5"/>
    </row>
    <row r="32" spans="1:10" ht="25.95" customHeight="1" x14ac:dyDescent="0.3">
      <c r="A32" s="5" t="s">
        <v>79</v>
      </c>
      <c r="B32" s="6" t="s">
        <v>81</v>
      </c>
      <c r="C32" s="5" t="s">
        <v>240</v>
      </c>
      <c r="D32" s="6" t="s">
        <v>4</v>
      </c>
      <c r="E32" s="6" t="s">
        <v>241</v>
      </c>
      <c r="F32" s="5" t="s">
        <v>306</v>
      </c>
      <c r="G32" s="5" t="s">
        <v>292</v>
      </c>
      <c r="H32" s="5"/>
      <c r="I32" s="5"/>
      <c r="J32" s="5"/>
    </row>
    <row r="33" spans="1:10" ht="25.95" customHeight="1" x14ac:dyDescent="0.3">
      <c r="A33" s="5" t="s">
        <v>83</v>
      </c>
      <c r="B33" s="6" t="s">
        <v>85</v>
      </c>
      <c r="C33" s="5" t="s">
        <v>244</v>
      </c>
      <c r="D33" s="6" t="s">
        <v>4</v>
      </c>
      <c r="E33" s="6" t="s">
        <v>245</v>
      </c>
      <c r="F33" s="5" t="s">
        <v>306</v>
      </c>
      <c r="G33" s="5" t="s">
        <v>243</v>
      </c>
      <c r="H33" s="5"/>
      <c r="I33" s="5"/>
      <c r="J33" s="5"/>
    </row>
    <row r="34" spans="1:10" ht="25.95" customHeight="1" x14ac:dyDescent="0.3">
      <c r="A34" s="5" t="s">
        <v>83</v>
      </c>
      <c r="B34" s="6" t="s">
        <v>85</v>
      </c>
      <c r="C34" s="5" t="s">
        <v>244</v>
      </c>
      <c r="D34" s="6" t="s">
        <v>4</v>
      </c>
      <c r="E34" s="6" t="s">
        <v>245</v>
      </c>
      <c r="F34" s="5" t="s">
        <v>306</v>
      </c>
      <c r="G34" s="5" t="s">
        <v>277</v>
      </c>
      <c r="H34" s="5"/>
      <c r="I34" s="5"/>
      <c r="J34" s="5"/>
    </row>
    <row r="35" spans="1:10" ht="25.95" customHeight="1" x14ac:dyDescent="0.3">
      <c r="A35" s="5" t="s">
        <v>83</v>
      </c>
      <c r="B35" s="6" t="s">
        <v>85</v>
      </c>
      <c r="C35" s="5" t="s">
        <v>244</v>
      </c>
      <c r="D35" s="6" t="s">
        <v>4</v>
      </c>
      <c r="E35" s="6" t="s">
        <v>245</v>
      </c>
      <c r="F35" s="5" t="s">
        <v>306</v>
      </c>
      <c r="G35" s="5" t="s">
        <v>293</v>
      </c>
      <c r="H35" s="5"/>
      <c r="I35" s="5"/>
      <c r="J35" s="5"/>
    </row>
    <row r="36" spans="1:10" ht="25.95" customHeight="1" x14ac:dyDescent="0.3">
      <c r="A36" s="5" t="s">
        <v>87</v>
      </c>
      <c r="B36" s="6" t="s">
        <v>89</v>
      </c>
      <c r="C36" s="5" t="s">
        <v>249</v>
      </c>
      <c r="D36" s="6" t="s">
        <v>4</v>
      </c>
      <c r="E36" s="6" t="s">
        <v>250</v>
      </c>
      <c r="F36" s="5" t="s">
        <v>306</v>
      </c>
      <c r="G36" s="5" t="s">
        <v>248</v>
      </c>
      <c r="H36" s="5"/>
      <c r="I36" s="5"/>
      <c r="J36" s="5"/>
    </row>
    <row r="37" spans="1:10" ht="25.95" customHeight="1" x14ac:dyDescent="0.3">
      <c r="A37" s="5" t="s">
        <v>87</v>
      </c>
      <c r="B37" s="6" t="s">
        <v>89</v>
      </c>
      <c r="C37" s="5" t="s">
        <v>279</v>
      </c>
      <c r="D37" s="6" t="s">
        <v>4</v>
      </c>
      <c r="E37" s="6" t="s">
        <v>280</v>
      </c>
      <c r="F37" s="5" t="s">
        <v>306</v>
      </c>
      <c r="G37" s="5" t="s">
        <v>278</v>
      </c>
      <c r="H37" s="5"/>
      <c r="I37" s="5"/>
      <c r="J37" s="5"/>
    </row>
    <row r="38" spans="1:10" ht="25.95" customHeight="1" x14ac:dyDescent="0.3">
      <c r="A38" s="5" t="s">
        <v>87</v>
      </c>
      <c r="B38" s="6" t="s">
        <v>89</v>
      </c>
      <c r="C38" s="5" t="s">
        <v>279</v>
      </c>
      <c r="D38" s="6" t="s">
        <v>4</v>
      </c>
      <c r="E38" s="6" t="s">
        <v>280</v>
      </c>
      <c r="F38" s="5" t="s">
        <v>306</v>
      </c>
      <c r="G38" s="5" t="s">
        <v>294</v>
      </c>
      <c r="H38" s="5"/>
      <c r="I38" s="5"/>
      <c r="J38" s="5"/>
    </row>
    <row r="39" spans="1:10" ht="25.95" customHeight="1" x14ac:dyDescent="0.3">
      <c r="A39" s="5" t="s">
        <v>91</v>
      </c>
      <c r="B39" s="6" t="s">
        <v>93</v>
      </c>
      <c r="C39" s="5" t="s">
        <v>254</v>
      </c>
      <c r="D39" s="6" t="s">
        <v>4</v>
      </c>
      <c r="E39" s="6" t="s">
        <v>255</v>
      </c>
      <c r="F39" s="5" t="s">
        <v>306</v>
      </c>
      <c r="G39" s="5" t="s">
        <v>253</v>
      </c>
      <c r="H39" s="5"/>
      <c r="I39" s="5"/>
      <c r="J39" s="5"/>
    </row>
    <row r="40" spans="1:10" ht="25.95" customHeight="1" x14ac:dyDescent="0.3">
      <c r="A40" s="5" t="s">
        <v>91</v>
      </c>
      <c r="B40" s="6" t="s">
        <v>93</v>
      </c>
      <c r="C40" s="5" t="s">
        <v>249</v>
      </c>
      <c r="D40" s="6" t="s">
        <v>4</v>
      </c>
      <c r="E40" s="6" t="s">
        <v>250</v>
      </c>
      <c r="F40" s="5" t="s">
        <v>306</v>
      </c>
      <c r="G40" s="5" t="s">
        <v>281</v>
      </c>
      <c r="H40" s="5"/>
      <c r="I40" s="5"/>
      <c r="J40" s="5"/>
    </row>
    <row r="41" spans="1:10" ht="25.95" customHeight="1" x14ac:dyDescent="0.3">
      <c r="A41" s="5" t="s">
        <v>91</v>
      </c>
      <c r="B41" s="6" t="s">
        <v>93</v>
      </c>
      <c r="C41" s="5" t="s">
        <v>254</v>
      </c>
      <c r="D41" s="6" t="s">
        <v>4</v>
      </c>
      <c r="E41" s="6" t="s">
        <v>255</v>
      </c>
      <c r="F41" s="5" t="s">
        <v>306</v>
      </c>
      <c r="G41" s="5" t="s">
        <v>296</v>
      </c>
      <c r="H41" s="5"/>
      <c r="I41" s="5"/>
      <c r="J41" s="5"/>
    </row>
    <row r="42" spans="1:10" ht="25.95" customHeight="1" x14ac:dyDescent="0.3">
      <c r="A42" s="5" t="s">
        <v>94</v>
      </c>
      <c r="B42" s="6" t="s">
        <v>96</v>
      </c>
      <c r="C42" s="5" t="s">
        <v>217</v>
      </c>
      <c r="D42" s="6" t="s">
        <v>4</v>
      </c>
      <c r="E42" s="6" t="s">
        <v>218</v>
      </c>
      <c r="F42" s="5" t="s">
        <v>306</v>
      </c>
      <c r="G42" s="5" t="s">
        <v>216</v>
      </c>
      <c r="H42" s="5"/>
      <c r="I42" s="5"/>
      <c r="J42" s="5"/>
    </row>
    <row r="43" spans="1:10" ht="25.95" customHeight="1" x14ac:dyDescent="0.3">
      <c r="A43" s="5" t="s">
        <v>97</v>
      </c>
      <c r="B43" s="6" t="s">
        <v>100</v>
      </c>
      <c r="C43" s="5" t="s">
        <v>222</v>
      </c>
      <c r="D43" s="6" t="s">
        <v>4</v>
      </c>
      <c r="E43" s="6" t="s">
        <v>223</v>
      </c>
      <c r="F43" s="5" t="s">
        <v>306</v>
      </c>
      <c r="G43" s="5" t="s">
        <v>221</v>
      </c>
      <c r="H43" s="5"/>
      <c r="I43" s="5"/>
      <c r="J43" s="5"/>
    </row>
    <row r="44" spans="1:10" ht="25.95" customHeight="1" x14ac:dyDescent="0.3">
      <c r="A44" s="5" t="s">
        <v>102</v>
      </c>
      <c r="B44" s="6" t="s">
        <v>104</v>
      </c>
      <c r="C44" s="5" t="s">
        <v>222</v>
      </c>
      <c r="D44" s="6" t="s">
        <v>4</v>
      </c>
      <c r="E44" s="6" t="s">
        <v>223</v>
      </c>
      <c r="F44" s="5" t="s">
        <v>306</v>
      </c>
      <c r="G44" s="5" t="s">
        <v>225</v>
      </c>
      <c r="H44" s="5"/>
      <c r="I44" s="5"/>
      <c r="J44" s="5"/>
    </row>
    <row r="45" spans="1:10" ht="25.95" customHeight="1" x14ac:dyDescent="0.3">
      <c r="A45" s="5" t="s">
        <v>102</v>
      </c>
      <c r="B45" s="6" t="s">
        <v>104</v>
      </c>
      <c r="C45" s="5" t="s">
        <v>222</v>
      </c>
      <c r="D45" s="6" t="s">
        <v>4</v>
      </c>
      <c r="E45" s="6" t="s">
        <v>223</v>
      </c>
      <c r="F45" s="5" t="s">
        <v>306</v>
      </c>
      <c r="G45" s="5" t="s">
        <v>228</v>
      </c>
      <c r="H45" s="5"/>
      <c r="I45" s="5"/>
      <c r="J45" s="5"/>
    </row>
    <row r="46" spans="1:10" ht="25.95" customHeight="1" x14ac:dyDescent="0.3">
      <c r="A46" s="5" t="s">
        <v>105</v>
      </c>
      <c r="B46" s="6" t="s">
        <v>107</v>
      </c>
      <c r="C46" s="5" t="s">
        <v>231</v>
      </c>
      <c r="D46" s="6" t="s">
        <v>4</v>
      </c>
      <c r="E46" s="6" t="s">
        <v>232</v>
      </c>
      <c r="F46" s="5" t="s">
        <v>306</v>
      </c>
      <c r="G46" s="5" t="s">
        <v>230</v>
      </c>
      <c r="H46" s="5"/>
      <c r="I46" s="5"/>
      <c r="J46" s="5"/>
    </row>
    <row r="47" spans="1:10" ht="25.95" customHeight="1" x14ac:dyDescent="0.3">
      <c r="A47" s="5" t="s">
        <v>109</v>
      </c>
      <c r="B47" s="6" t="s">
        <v>111</v>
      </c>
      <c r="C47" s="5" t="s">
        <v>231</v>
      </c>
      <c r="D47" s="6" t="s">
        <v>4</v>
      </c>
      <c r="E47" s="6" t="s">
        <v>232</v>
      </c>
      <c r="F47" s="5" t="s">
        <v>306</v>
      </c>
      <c r="G47" s="5" t="s">
        <v>235</v>
      </c>
      <c r="H47" s="5"/>
      <c r="I47" s="5"/>
      <c r="J47" s="5"/>
    </row>
    <row r="48" spans="1:10" ht="25.95" customHeight="1" x14ac:dyDescent="0.3">
      <c r="A48" s="5" t="s">
        <v>112</v>
      </c>
      <c r="B48" s="6" t="s">
        <v>114</v>
      </c>
      <c r="C48" s="5" t="s">
        <v>231</v>
      </c>
      <c r="D48" s="6" t="s">
        <v>4</v>
      </c>
      <c r="E48" s="6" t="s">
        <v>232</v>
      </c>
      <c r="F48" s="5" t="s">
        <v>306</v>
      </c>
      <c r="G48" s="5" t="s">
        <v>237</v>
      </c>
      <c r="H48" s="5"/>
      <c r="I48" s="5"/>
      <c r="J48" s="5"/>
    </row>
    <row r="49" spans="1:10" ht="25.95" customHeight="1" x14ac:dyDescent="0.3">
      <c r="A49" s="5" t="s">
        <v>115</v>
      </c>
      <c r="B49" s="6" t="s">
        <v>117</v>
      </c>
      <c r="C49" s="5" t="s">
        <v>264</v>
      </c>
      <c r="D49" s="6" t="s">
        <v>4</v>
      </c>
      <c r="E49" s="6" t="s">
        <v>265</v>
      </c>
      <c r="F49" s="5" t="s">
        <v>306</v>
      </c>
      <c r="G49" s="5" t="s">
        <v>263</v>
      </c>
      <c r="H49" s="5"/>
      <c r="I49" s="5"/>
      <c r="J49" s="5"/>
    </row>
    <row r="50" spans="1:10" ht="25.95" customHeight="1" x14ac:dyDescent="0.3">
      <c r="A50" s="5" t="s">
        <v>119</v>
      </c>
      <c r="B50" s="6" t="s">
        <v>121</v>
      </c>
      <c r="C50" s="5" t="s">
        <v>264</v>
      </c>
      <c r="D50" s="6" t="s">
        <v>4</v>
      </c>
      <c r="E50" s="6" t="s">
        <v>265</v>
      </c>
      <c r="F50" s="5" t="s">
        <v>306</v>
      </c>
      <c r="G50" s="5" t="s">
        <v>267</v>
      </c>
      <c r="H50" s="5"/>
      <c r="I50" s="5"/>
      <c r="J50" s="5"/>
    </row>
    <row r="51" spans="1:10" ht="25.95" customHeight="1" x14ac:dyDescent="0.3">
      <c r="A51" s="5" t="s">
        <v>122</v>
      </c>
      <c r="B51" s="6" t="s">
        <v>124</v>
      </c>
      <c r="C51" s="5" t="s">
        <v>264</v>
      </c>
      <c r="D51" s="6" t="s">
        <v>4</v>
      </c>
      <c r="E51" s="6" t="s">
        <v>265</v>
      </c>
      <c r="F51" s="5" t="s">
        <v>306</v>
      </c>
      <c r="G51" s="5" t="s">
        <v>268</v>
      </c>
      <c r="H51" s="5"/>
      <c r="I51" s="5"/>
      <c r="J51" s="5"/>
    </row>
    <row r="52" spans="1:10" ht="25.95" customHeight="1" x14ac:dyDescent="0.3">
      <c r="A52" s="5" t="s">
        <v>125</v>
      </c>
      <c r="B52" s="6" t="s">
        <v>127</v>
      </c>
      <c r="C52" s="5" t="s">
        <v>240</v>
      </c>
      <c r="D52" s="6" t="s">
        <v>4</v>
      </c>
      <c r="E52" s="6" t="s">
        <v>241</v>
      </c>
      <c r="F52" s="5" t="s">
        <v>306</v>
      </c>
      <c r="G52" s="5" t="s">
        <v>239</v>
      </c>
      <c r="H52" s="5"/>
      <c r="I52" s="5"/>
      <c r="J52" s="5"/>
    </row>
    <row r="53" spans="1:10" ht="25.95" customHeight="1" x14ac:dyDescent="0.3">
      <c r="A53" s="5" t="s">
        <v>129</v>
      </c>
      <c r="B53" s="6" t="s">
        <v>131</v>
      </c>
      <c r="C53" s="5" t="s">
        <v>240</v>
      </c>
      <c r="D53" s="6" t="s">
        <v>4</v>
      </c>
      <c r="E53" s="6" t="s">
        <v>241</v>
      </c>
      <c r="F53" s="5" t="s">
        <v>306</v>
      </c>
      <c r="G53" s="5" t="s">
        <v>269</v>
      </c>
      <c r="H53" s="5"/>
      <c r="I53" s="5"/>
      <c r="J53" s="5"/>
    </row>
    <row r="54" spans="1:10" ht="25.95" customHeight="1" x14ac:dyDescent="0.3">
      <c r="A54" s="5" t="s">
        <v>132</v>
      </c>
      <c r="B54" s="6" t="s">
        <v>134</v>
      </c>
      <c r="C54" s="5" t="s">
        <v>240</v>
      </c>
      <c r="D54" s="6" t="s">
        <v>4</v>
      </c>
      <c r="E54" s="6" t="s">
        <v>241</v>
      </c>
      <c r="F54" s="5" t="s">
        <v>306</v>
      </c>
      <c r="G54" s="5" t="s">
        <v>270</v>
      </c>
      <c r="H54" s="5"/>
      <c r="I54" s="5"/>
      <c r="J54" s="5"/>
    </row>
    <row r="55" spans="1:10" ht="25.95" customHeight="1" x14ac:dyDescent="0.3">
      <c r="A55" s="5" t="s">
        <v>135</v>
      </c>
      <c r="B55" s="6" t="s">
        <v>137</v>
      </c>
      <c r="C55" s="5" t="s">
        <v>240</v>
      </c>
      <c r="D55" s="6" t="s">
        <v>4</v>
      </c>
      <c r="E55" s="6" t="s">
        <v>241</v>
      </c>
      <c r="F55" s="5" t="s">
        <v>306</v>
      </c>
      <c r="G55" s="5" t="s">
        <v>271</v>
      </c>
      <c r="H55" s="5"/>
      <c r="I55" s="5"/>
      <c r="J55" s="5"/>
    </row>
    <row r="56" spans="1:10" ht="25.95" customHeight="1" x14ac:dyDescent="0.3">
      <c r="A56" s="5" t="s">
        <v>138</v>
      </c>
      <c r="B56" s="6" t="s">
        <v>140</v>
      </c>
      <c r="C56" s="5" t="s">
        <v>240</v>
      </c>
      <c r="D56" s="6" t="s">
        <v>4</v>
      </c>
      <c r="E56" s="6" t="s">
        <v>241</v>
      </c>
      <c r="F56" s="5" t="s">
        <v>306</v>
      </c>
      <c r="G56" s="5" t="s">
        <v>272</v>
      </c>
      <c r="H56" s="5"/>
      <c r="I56" s="5"/>
      <c r="J56" s="5"/>
    </row>
    <row r="57" spans="1:10" ht="25.95" customHeight="1" x14ac:dyDescent="0.3">
      <c r="A57" s="5" t="s">
        <v>141</v>
      </c>
      <c r="B57" s="6" t="s">
        <v>143</v>
      </c>
      <c r="C57" s="5" t="s">
        <v>240</v>
      </c>
      <c r="D57" s="6" t="s">
        <v>4</v>
      </c>
      <c r="E57" s="6" t="s">
        <v>241</v>
      </c>
      <c r="F57" s="5" t="s">
        <v>306</v>
      </c>
      <c r="G57" s="5" t="s">
        <v>273</v>
      </c>
      <c r="H57" s="5"/>
      <c r="I57" s="5"/>
      <c r="J57" s="5"/>
    </row>
    <row r="58" spans="1:10" ht="25.95" customHeight="1" x14ac:dyDescent="0.3">
      <c r="A58" s="5" t="s">
        <v>144</v>
      </c>
      <c r="B58" s="6" t="s">
        <v>146</v>
      </c>
      <c r="C58" s="5" t="s">
        <v>240</v>
      </c>
      <c r="D58" s="6" t="s">
        <v>4</v>
      </c>
      <c r="E58" s="6" t="s">
        <v>241</v>
      </c>
      <c r="F58" s="5" t="s">
        <v>306</v>
      </c>
      <c r="G58" s="5" t="s">
        <v>274</v>
      </c>
      <c r="H58" s="5"/>
      <c r="I58" s="5"/>
      <c r="J58" s="5"/>
    </row>
    <row r="59" spans="1:10" ht="25.95" customHeight="1" x14ac:dyDescent="0.3">
      <c r="A59" s="5" t="s">
        <v>147</v>
      </c>
      <c r="B59" s="6" t="s">
        <v>149</v>
      </c>
      <c r="C59" s="5" t="s">
        <v>240</v>
      </c>
      <c r="D59" s="6" t="s">
        <v>4</v>
      </c>
      <c r="E59" s="6" t="s">
        <v>241</v>
      </c>
      <c r="F59" s="5" t="s">
        <v>306</v>
      </c>
      <c r="G59" s="5" t="s">
        <v>275</v>
      </c>
      <c r="H59" s="5"/>
      <c r="I59" s="5"/>
      <c r="J59" s="5"/>
    </row>
    <row r="60" spans="1:10" ht="25.95" customHeight="1" x14ac:dyDescent="0.3">
      <c r="A60" s="5" t="s">
        <v>150</v>
      </c>
      <c r="B60" s="6" t="s">
        <v>152</v>
      </c>
      <c r="C60" s="5" t="s">
        <v>240</v>
      </c>
      <c r="D60" s="6" t="s">
        <v>4</v>
      </c>
      <c r="E60" s="6" t="s">
        <v>241</v>
      </c>
      <c r="F60" s="5" t="s">
        <v>306</v>
      </c>
      <c r="G60" s="5" t="s">
        <v>276</v>
      </c>
      <c r="H60" s="5"/>
      <c r="I60" s="5"/>
      <c r="J60" s="5"/>
    </row>
    <row r="61" spans="1:10" ht="25.95" customHeight="1" x14ac:dyDescent="0.3">
      <c r="A61" s="5" t="s">
        <v>153</v>
      </c>
      <c r="B61" s="6" t="s">
        <v>155</v>
      </c>
      <c r="C61" s="5" t="s">
        <v>244</v>
      </c>
      <c r="D61" s="6" t="s">
        <v>4</v>
      </c>
      <c r="E61" s="6" t="s">
        <v>245</v>
      </c>
      <c r="F61" s="5" t="s">
        <v>306</v>
      </c>
      <c r="G61" s="5" t="s">
        <v>243</v>
      </c>
      <c r="H61" s="5"/>
      <c r="I61" s="5"/>
      <c r="J61" s="5"/>
    </row>
    <row r="62" spans="1:10" ht="25.95" customHeight="1" x14ac:dyDescent="0.3">
      <c r="A62" s="5" t="s">
        <v>157</v>
      </c>
      <c r="B62" s="6" t="s">
        <v>159</v>
      </c>
      <c r="C62" s="5" t="s">
        <v>244</v>
      </c>
      <c r="D62" s="6" t="s">
        <v>4</v>
      </c>
      <c r="E62" s="6" t="s">
        <v>245</v>
      </c>
      <c r="F62" s="5" t="s">
        <v>306</v>
      </c>
      <c r="G62" s="5" t="s">
        <v>277</v>
      </c>
      <c r="H62" s="5"/>
      <c r="I62" s="5"/>
      <c r="J62" s="5"/>
    </row>
    <row r="63" spans="1:10" ht="25.95" customHeight="1" x14ac:dyDescent="0.3">
      <c r="A63" s="5" t="s">
        <v>160</v>
      </c>
      <c r="B63" s="6" t="s">
        <v>162</v>
      </c>
      <c r="C63" s="5" t="s">
        <v>249</v>
      </c>
      <c r="D63" s="6" t="s">
        <v>4</v>
      </c>
      <c r="E63" s="6" t="s">
        <v>250</v>
      </c>
      <c r="F63" s="5" t="s">
        <v>306</v>
      </c>
      <c r="G63" s="5" t="s">
        <v>248</v>
      </c>
      <c r="H63" s="5"/>
      <c r="I63" s="5"/>
      <c r="J63" s="5"/>
    </row>
    <row r="64" spans="1:10" ht="25.95" customHeight="1" x14ac:dyDescent="0.3">
      <c r="A64" s="5" t="s">
        <v>164</v>
      </c>
      <c r="B64" s="6" t="s">
        <v>166</v>
      </c>
      <c r="C64" s="5" t="s">
        <v>279</v>
      </c>
      <c r="D64" s="6" t="s">
        <v>4</v>
      </c>
      <c r="E64" s="6" t="s">
        <v>280</v>
      </c>
      <c r="F64" s="5" t="s">
        <v>306</v>
      </c>
      <c r="G64" s="5" t="s">
        <v>278</v>
      </c>
      <c r="H64" s="5"/>
      <c r="I64" s="5"/>
      <c r="J64" s="5"/>
    </row>
    <row r="65" spans="1:10" ht="25.95" customHeight="1" x14ac:dyDescent="0.3">
      <c r="A65" s="5" t="s">
        <v>167</v>
      </c>
      <c r="B65" s="6" t="s">
        <v>169</v>
      </c>
      <c r="C65" s="5" t="s">
        <v>249</v>
      </c>
      <c r="D65" s="6" t="s">
        <v>4</v>
      </c>
      <c r="E65" s="6" t="s">
        <v>250</v>
      </c>
      <c r="F65" s="5" t="s">
        <v>306</v>
      </c>
      <c r="G65" s="5" t="s">
        <v>281</v>
      </c>
      <c r="H65" s="5"/>
      <c r="I65" s="5"/>
      <c r="J65" s="5"/>
    </row>
    <row r="66" spans="1:10" ht="25.95" customHeight="1" x14ac:dyDescent="0.3">
      <c r="A66" s="5" t="s">
        <v>171</v>
      </c>
      <c r="B66" s="6" t="s">
        <v>173</v>
      </c>
      <c r="C66" s="5" t="s">
        <v>254</v>
      </c>
      <c r="D66" s="6" t="s">
        <v>4</v>
      </c>
      <c r="E66" s="6" t="s">
        <v>255</v>
      </c>
      <c r="F66" s="5" t="s">
        <v>306</v>
      </c>
      <c r="G66" s="5" t="s">
        <v>253</v>
      </c>
      <c r="H66" s="5"/>
      <c r="I66" s="5"/>
      <c r="J66" s="5"/>
    </row>
    <row r="67" spans="1:10" ht="25.95" customHeight="1" x14ac:dyDescent="0.3">
      <c r="A67" s="5" t="s">
        <v>174</v>
      </c>
      <c r="B67" s="6" t="s">
        <v>177</v>
      </c>
      <c r="C67" s="5" t="s">
        <v>299</v>
      </c>
      <c r="D67" s="6" t="s">
        <v>298</v>
      </c>
      <c r="E67" s="6" t="s">
        <v>298</v>
      </c>
      <c r="F67" s="5" t="s">
        <v>306</v>
      </c>
      <c r="G67" s="5" t="s">
        <v>297</v>
      </c>
      <c r="H67" s="5"/>
      <c r="I67" s="5"/>
      <c r="J67" s="5"/>
    </row>
    <row r="68" spans="1:10" ht="25.95" customHeight="1" x14ac:dyDescent="0.3">
      <c r="A68" s="5" t="s">
        <v>178</v>
      </c>
      <c r="B68" s="6" t="s">
        <v>180</v>
      </c>
      <c r="C68" s="5" t="s">
        <v>231</v>
      </c>
      <c r="D68" s="6" t="s">
        <v>4</v>
      </c>
      <c r="E68" s="6" t="s">
        <v>232</v>
      </c>
      <c r="F68" s="5" t="s">
        <v>306</v>
      </c>
      <c r="G68" s="5" t="s">
        <v>257</v>
      </c>
      <c r="H68" s="5"/>
      <c r="I68" s="5"/>
      <c r="J68" s="5"/>
    </row>
    <row r="69" spans="1:10" ht="25.95" customHeight="1" x14ac:dyDescent="0.3">
      <c r="A69" s="5" t="s">
        <v>181</v>
      </c>
      <c r="B69" s="6" t="s">
        <v>183</v>
      </c>
      <c r="C69" s="5" t="s">
        <v>301</v>
      </c>
      <c r="D69" s="6" t="s">
        <v>298</v>
      </c>
      <c r="E69" s="6" t="s">
        <v>298</v>
      </c>
      <c r="F69" s="5" t="s">
        <v>306</v>
      </c>
      <c r="G69" s="5" t="s">
        <v>300</v>
      </c>
      <c r="H69" s="5"/>
      <c r="I69" s="5"/>
      <c r="J69" s="5"/>
    </row>
    <row r="70" spans="1:10" ht="25.95" customHeight="1" x14ac:dyDescent="0.3">
      <c r="A70" s="5" t="s">
        <v>184</v>
      </c>
      <c r="B70" s="6" t="s">
        <v>186</v>
      </c>
      <c r="C70" s="5" t="s">
        <v>260</v>
      </c>
      <c r="D70" s="6" t="s">
        <v>4</v>
      </c>
      <c r="E70" s="6" t="s">
        <v>218</v>
      </c>
      <c r="F70" s="5" t="s">
        <v>306</v>
      </c>
      <c r="G70" s="5" t="s">
        <v>259</v>
      </c>
      <c r="H70" s="5"/>
      <c r="I70" s="5"/>
      <c r="J70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" customWidth="1"/>
    <col min="2" max="3" width="16" customWidth="1"/>
    <col min="4" max="4" width="12" customWidth="1"/>
    <col min="5" max="6" width="16" customWidth="1"/>
    <col min="7" max="12" width="14" customWidth="1"/>
    <col min="13" max="13" width="16" customWidth="1"/>
    <col min="14" max="14" width="60" customWidth="1"/>
  </cols>
  <sheetData>
    <row r="1" spans="1:14" ht="31.95" customHeight="1" x14ac:dyDescent="0.3">
      <c r="A1" s="4" t="s">
        <v>187</v>
      </c>
      <c r="B1" s="4" t="s">
        <v>38</v>
      </c>
      <c r="C1" s="4" t="s">
        <v>308</v>
      </c>
      <c r="D1" s="4" t="s">
        <v>13</v>
      </c>
      <c r="E1" s="4" t="s">
        <v>309</v>
      </c>
      <c r="F1" s="4" t="s">
        <v>310</v>
      </c>
      <c r="G1" s="4" t="s">
        <v>201</v>
      </c>
      <c r="H1" s="4" t="s">
        <v>311</v>
      </c>
      <c r="I1" s="4" t="s">
        <v>202</v>
      </c>
      <c r="J1" s="4" t="s">
        <v>312</v>
      </c>
      <c r="K1" s="4" t="s">
        <v>203</v>
      </c>
      <c r="L1" s="4" t="s">
        <v>313</v>
      </c>
      <c r="M1" s="4" t="s">
        <v>314</v>
      </c>
      <c r="N1" s="4" t="s">
        <v>315</v>
      </c>
    </row>
    <row r="2" spans="1:14" ht="24" customHeight="1" x14ac:dyDescent="0.3">
      <c r="A2" s="5" t="s">
        <v>205</v>
      </c>
      <c r="B2" s="10" t="str">
        <f>IFERROR(VLOOKUP(A2,'Test Cases'!$A$2:$S$52,2,FALSE),"")</f>
        <v>SwHLR01</v>
      </c>
      <c r="C2" s="5"/>
      <c r="D2" s="6"/>
      <c r="E2" s="10" t="str">
        <f>IFERROR(VLOOKUP(A2,'Test Cases'!$A$2:$S$52,15,FALSE),"")</f>
        <v>MODE_STANDSTILL</v>
      </c>
      <c r="F2" s="5"/>
      <c r="G2" s="11">
        <f>IFERROR(VLOOKUP(A2,'Test Cases'!$A$2:$S$52,16,FALSE),"")</f>
        <v>0</v>
      </c>
      <c r="H2" s="5"/>
      <c r="I2" s="11">
        <f>IFERROR(VLOOKUP(A2,'Test Cases'!$A$2:$S$52,17,FALSE),"")</f>
        <v>0</v>
      </c>
      <c r="J2" s="5"/>
      <c r="K2" s="11">
        <f>IFERROR(VLOOKUP(A2,'Test Cases'!$A$2:$S$52,18,FALSE),"")</f>
        <v>0</v>
      </c>
      <c r="L2" s="5"/>
      <c r="M2" s="11" t="str">
        <f t="shared" ref="M2:M42" si="0">IF(COUNTA(F2,H2,J2,L2)=0,"NOT EXECUTED",IF(AND(F2=E2,H2=G2,J2=I2,L2=K2),"PASS","FAIL"))</f>
        <v>NOT EXECUTED</v>
      </c>
      <c r="N2" s="5"/>
    </row>
    <row r="3" spans="1:14" ht="24" customHeight="1" x14ac:dyDescent="0.3">
      <c r="A3" s="5" t="s">
        <v>211</v>
      </c>
      <c r="B3" s="10" t="str">
        <f>IFERROR(VLOOKUP(A3,'Test Cases'!$A$2:$S$52,2,FALSE),"")</f>
        <v>SwHLR02</v>
      </c>
      <c r="C3" s="5"/>
      <c r="D3" s="6"/>
      <c r="E3" s="10" t="str">
        <f>IFERROR(VLOOKUP(A3,'Test Cases'!$A$2:$S$52,15,FALSE),"")</f>
        <v>MODE_EV</v>
      </c>
      <c r="F3" s="5"/>
      <c r="G3" s="11">
        <f>IFERROR(VLOOKUP(A3,'Test Cases'!$A$2:$S$52,16,FALSE),"")</f>
        <v>1</v>
      </c>
      <c r="H3" s="5"/>
      <c r="I3" s="11">
        <f>IFERROR(VLOOKUP(A3,'Test Cases'!$A$2:$S$52,17,FALSE),"")</f>
        <v>0</v>
      </c>
      <c r="J3" s="5"/>
      <c r="K3" s="11">
        <f>IFERROR(VLOOKUP(A3,'Test Cases'!$A$2:$S$52,18,FALSE),"")</f>
        <v>0</v>
      </c>
      <c r="L3" s="5"/>
      <c r="M3" s="11" t="str">
        <f t="shared" si="0"/>
        <v>NOT EXECUTED</v>
      </c>
      <c r="N3" s="5"/>
    </row>
    <row r="4" spans="1:14" ht="24" customHeight="1" x14ac:dyDescent="0.3">
      <c r="A4" s="5" t="s">
        <v>216</v>
      </c>
      <c r="B4" s="10" t="str">
        <f>IFERROR(VLOOKUP(A4,'Test Cases'!$A$2:$S$52,2,FALSE),"")</f>
        <v>SwHLR10</v>
      </c>
      <c r="C4" s="5"/>
      <c r="D4" s="6"/>
      <c r="E4" s="10" t="str">
        <f>IFERROR(VLOOKUP(A4,'Test Cases'!$A$2:$S$52,15,FALSE),"")</f>
        <v>MODE_STANDSTILL</v>
      </c>
      <c r="F4" s="5"/>
      <c r="G4" s="11">
        <f>IFERROR(VLOOKUP(A4,'Test Cases'!$A$2:$S$52,16,FALSE),"")</f>
        <v>0</v>
      </c>
      <c r="H4" s="5"/>
      <c r="I4" s="11">
        <f>IFERROR(VLOOKUP(A4,'Test Cases'!$A$2:$S$52,17,FALSE),"")</f>
        <v>0</v>
      </c>
      <c r="J4" s="5"/>
      <c r="K4" s="11">
        <f>IFERROR(VLOOKUP(A4,'Test Cases'!$A$2:$S$52,18,FALSE),"")</f>
        <v>0</v>
      </c>
      <c r="L4" s="5"/>
      <c r="M4" s="11" t="str">
        <f t="shared" si="0"/>
        <v>NOT EXECUTED</v>
      </c>
      <c r="N4" s="5"/>
    </row>
    <row r="5" spans="1:14" ht="24" customHeight="1" x14ac:dyDescent="0.3">
      <c r="A5" s="5" t="s">
        <v>221</v>
      </c>
      <c r="B5" s="10" t="str">
        <f>IFERROR(VLOOKUP(A5,'Test Cases'!$A$2:$S$52,2,FALSE),"")</f>
        <v>SwLLR01</v>
      </c>
      <c r="C5" s="5"/>
      <c r="D5" s="6"/>
      <c r="E5" s="10" t="str">
        <f>IFERROR(VLOOKUP(A5,'Test Cases'!$A$2:$S$52,15,FALSE),"")</f>
        <v>MODE_EV</v>
      </c>
      <c r="F5" s="5"/>
      <c r="G5" s="11">
        <f>IFERROR(VLOOKUP(A5,'Test Cases'!$A$2:$S$52,16,FALSE),"")</f>
        <v>1</v>
      </c>
      <c r="H5" s="5"/>
      <c r="I5" s="11">
        <f>IFERROR(VLOOKUP(A5,'Test Cases'!$A$2:$S$52,17,FALSE),"")</f>
        <v>0</v>
      </c>
      <c r="J5" s="5"/>
      <c r="K5" s="11">
        <f>IFERROR(VLOOKUP(A5,'Test Cases'!$A$2:$S$52,18,FALSE),"")</f>
        <v>0</v>
      </c>
      <c r="L5" s="5"/>
      <c r="M5" s="11" t="str">
        <f t="shared" si="0"/>
        <v>NOT EXECUTED</v>
      </c>
      <c r="N5" s="5"/>
    </row>
    <row r="6" spans="1:14" ht="24" customHeight="1" x14ac:dyDescent="0.3">
      <c r="A6" s="5" t="s">
        <v>225</v>
      </c>
      <c r="B6" s="10" t="str">
        <f>IFERROR(VLOOKUP(A6,'Test Cases'!$A$2:$S$52,2,FALSE),"")</f>
        <v>SwLLR02</v>
      </c>
      <c r="C6" s="5"/>
      <c r="D6" s="6"/>
      <c r="E6" s="10" t="str">
        <f>IFERROR(VLOOKUP(A6,'Test Cases'!$A$2:$S$52,15,FALSE),"")</f>
        <v>MODE_START</v>
      </c>
      <c r="F6" s="5"/>
      <c r="G6" s="11">
        <f>IFERROR(VLOOKUP(A6,'Test Cases'!$A$2:$S$52,16,FALSE),"")</f>
        <v>1</v>
      </c>
      <c r="H6" s="5"/>
      <c r="I6" s="11">
        <f>IFERROR(VLOOKUP(A6,'Test Cases'!$A$2:$S$52,17,FALSE),"")</f>
        <v>1</v>
      </c>
      <c r="J6" s="5"/>
      <c r="K6" s="11">
        <f>IFERROR(VLOOKUP(A6,'Test Cases'!$A$2:$S$52,18,FALSE),"")</f>
        <v>0</v>
      </c>
      <c r="L6" s="5"/>
      <c r="M6" s="11" t="str">
        <f t="shared" si="0"/>
        <v>NOT EXECUTED</v>
      </c>
      <c r="N6" s="5"/>
    </row>
    <row r="7" spans="1:14" ht="24" customHeight="1" x14ac:dyDescent="0.3">
      <c r="A7" s="5" t="s">
        <v>228</v>
      </c>
      <c r="B7" s="10" t="str">
        <f>IFERROR(VLOOKUP(A7,'Test Cases'!$A$2:$S$52,2,FALSE),"")</f>
        <v>SwLLR02</v>
      </c>
      <c r="C7" s="5"/>
      <c r="D7" s="6"/>
      <c r="E7" s="10" t="str">
        <f>IFERROR(VLOOKUP(A7,'Test Cases'!$A$2:$S$52,15,FALSE),"")</f>
        <v>MODE_START</v>
      </c>
      <c r="F7" s="5"/>
      <c r="G7" s="11">
        <f>IFERROR(VLOOKUP(A7,'Test Cases'!$A$2:$S$52,16,FALSE),"")</f>
        <v>1</v>
      </c>
      <c r="H7" s="5"/>
      <c r="I7" s="11">
        <f>IFERROR(VLOOKUP(A7,'Test Cases'!$A$2:$S$52,17,FALSE),"")</f>
        <v>1</v>
      </c>
      <c r="J7" s="5"/>
      <c r="K7" s="11">
        <f>IFERROR(VLOOKUP(A7,'Test Cases'!$A$2:$S$52,18,FALSE),"")</f>
        <v>0</v>
      </c>
      <c r="L7" s="5"/>
      <c r="M7" s="11" t="str">
        <f t="shared" si="0"/>
        <v>NOT EXECUTED</v>
      </c>
      <c r="N7" s="5"/>
    </row>
    <row r="8" spans="1:14" ht="24" customHeight="1" x14ac:dyDescent="0.3">
      <c r="A8" s="5" t="s">
        <v>230</v>
      </c>
      <c r="B8" s="10" t="str">
        <f>IFERROR(VLOOKUP(A8,'Test Cases'!$A$2:$S$52,2,FALSE),"")</f>
        <v>SwLLR03</v>
      </c>
      <c r="C8" s="5"/>
      <c r="D8" s="6"/>
      <c r="E8" s="10" t="str">
        <f>IFERROR(VLOOKUP(A8,'Test Cases'!$A$2:$S$52,15,FALSE),"")</f>
        <v>MODE_REGENB</v>
      </c>
      <c r="F8" s="5"/>
      <c r="G8" s="11">
        <f>IFERROR(VLOOKUP(A8,'Test Cases'!$A$2:$S$52,16,FALSE),"")</f>
        <v>1</v>
      </c>
      <c r="H8" s="5"/>
      <c r="I8" s="11">
        <f>IFERROR(VLOOKUP(A8,'Test Cases'!$A$2:$S$52,17,FALSE),"")</f>
        <v>0</v>
      </c>
      <c r="J8" s="5"/>
      <c r="K8" s="11">
        <f>IFERROR(VLOOKUP(A8,'Test Cases'!$A$2:$S$52,18,FALSE),"")</f>
        <v>0</v>
      </c>
      <c r="L8" s="5"/>
      <c r="M8" s="11" t="str">
        <f t="shared" si="0"/>
        <v>NOT EXECUTED</v>
      </c>
      <c r="N8" s="5"/>
    </row>
    <row r="9" spans="1:14" ht="24" customHeight="1" x14ac:dyDescent="0.3">
      <c r="A9" s="5" t="s">
        <v>235</v>
      </c>
      <c r="B9" s="10" t="str">
        <f>IFERROR(VLOOKUP(A9,'Test Cases'!$A$2:$S$52,2,FALSE),"")</f>
        <v>SwLLR04</v>
      </c>
      <c r="C9" s="5"/>
      <c r="D9" s="6"/>
      <c r="E9" s="10" t="str">
        <f>IFERROR(VLOOKUP(A9,'Test Cases'!$A$2:$S$52,15,FALSE),"")</f>
        <v>MODE_START</v>
      </c>
      <c r="F9" s="5"/>
      <c r="G9" s="11">
        <f>IFERROR(VLOOKUP(A9,'Test Cases'!$A$2:$S$52,16,FALSE),"")</f>
        <v>1</v>
      </c>
      <c r="H9" s="5"/>
      <c r="I9" s="11">
        <f>IFERROR(VLOOKUP(A9,'Test Cases'!$A$2:$S$52,17,FALSE),"")</f>
        <v>1</v>
      </c>
      <c r="J9" s="5"/>
      <c r="K9" s="11">
        <f>IFERROR(VLOOKUP(A9,'Test Cases'!$A$2:$S$52,18,FALSE),"")</f>
        <v>0</v>
      </c>
      <c r="L9" s="5"/>
      <c r="M9" s="11" t="str">
        <f t="shared" si="0"/>
        <v>NOT EXECUTED</v>
      </c>
      <c r="N9" s="5"/>
    </row>
    <row r="10" spans="1:14" ht="24" customHeight="1" x14ac:dyDescent="0.3">
      <c r="A10" s="5" t="s">
        <v>237</v>
      </c>
      <c r="B10" s="10" t="str">
        <f>IFERROR(VLOOKUP(A10,'Test Cases'!$A$2:$S$52,2,FALSE),"")</f>
        <v>SwLLR05</v>
      </c>
      <c r="C10" s="5"/>
      <c r="D10" s="6"/>
      <c r="E10" s="10" t="str">
        <f>IFERROR(VLOOKUP(A10,'Test Cases'!$A$2:$S$52,15,FALSE),"")</f>
        <v>MODE_STANDSTILL</v>
      </c>
      <c r="F10" s="5"/>
      <c r="G10" s="11">
        <f>IFERROR(VLOOKUP(A10,'Test Cases'!$A$2:$S$52,16,FALSE),"")</f>
        <v>0</v>
      </c>
      <c r="H10" s="5"/>
      <c r="I10" s="11">
        <f>IFERROR(VLOOKUP(A10,'Test Cases'!$A$2:$S$52,17,FALSE),"")</f>
        <v>0</v>
      </c>
      <c r="J10" s="5"/>
      <c r="K10" s="11">
        <f>IFERROR(VLOOKUP(A10,'Test Cases'!$A$2:$S$52,18,FALSE),"")</f>
        <v>0</v>
      </c>
      <c r="L10" s="5"/>
      <c r="M10" s="11" t="str">
        <f t="shared" si="0"/>
        <v>NOT EXECUTED</v>
      </c>
      <c r="N10" s="5"/>
    </row>
    <row r="11" spans="1:14" ht="24" customHeight="1" x14ac:dyDescent="0.3">
      <c r="A11" s="5" t="s">
        <v>239</v>
      </c>
      <c r="B11" s="10" t="str">
        <f>IFERROR(VLOOKUP(A11,'Test Cases'!$A$2:$S$52,2,FALSE),"")</f>
        <v>SwLLR09</v>
      </c>
      <c r="C11" s="5"/>
      <c r="D11" s="6"/>
      <c r="E11" s="10" t="str">
        <f>IFERROR(VLOOKUP(A11,'Test Cases'!$A$2:$S$52,15,FALSE),"")</f>
        <v>MODE_REGENB</v>
      </c>
      <c r="F11" s="5"/>
      <c r="G11" s="11">
        <f>IFERROR(VLOOKUP(A11,'Test Cases'!$A$2:$S$52,16,FALSE),"")</f>
        <v>1</v>
      </c>
      <c r="H11" s="5"/>
      <c r="I11" s="11">
        <f>IFERROR(VLOOKUP(A11,'Test Cases'!$A$2:$S$52,17,FALSE),"")</f>
        <v>0</v>
      </c>
      <c r="J11" s="5"/>
      <c r="K11" s="11">
        <f>IFERROR(VLOOKUP(A11,'Test Cases'!$A$2:$S$52,18,FALSE),"")</f>
        <v>0</v>
      </c>
      <c r="L11" s="5"/>
      <c r="M11" s="11" t="str">
        <f t="shared" si="0"/>
        <v>NOT EXECUTED</v>
      </c>
      <c r="N11" s="5"/>
    </row>
    <row r="12" spans="1:14" ht="24" customHeight="1" x14ac:dyDescent="0.3">
      <c r="A12" s="5" t="s">
        <v>243</v>
      </c>
      <c r="B12" s="10" t="str">
        <f>IFERROR(VLOOKUP(A12,'Test Cases'!$A$2:$S$52,2,FALSE),"")</f>
        <v>SwLLR18</v>
      </c>
      <c r="C12" s="5"/>
      <c r="D12" s="6"/>
      <c r="E12" s="10" t="str">
        <f>IFERROR(VLOOKUP(A12,'Test Cases'!$A$2:$S$52,15,FALSE),"")</f>
        <v>MODE_HYBRID</v>
      </c>
      <c r="F12" s="5"/>
      <c r="G12" s="11">
        <f>IFERROR(VLOOKUP(A12,'Test Cases'!$A$2:$S$52,16,FALSE),"")</f>
        <v>1</v>
      </c>
      <c r="H12" s="5"/>
      <c r="I12" s="11">
        <f>IFERROR(VLOOKUP(A12,'Test Cases'!$A$2:$S$52,17,FALSE),"")</f>
        <v>1</v>
      </c>
      <c r="J12" s="5"/>
      <c r="K12" s="11">
        <f>IFERROR(VLOOKUP(A12,'Test Cases'!$A$2:$S$52,18,FALSE),"")</f>
        <v>1</v>
      </c>
      <c r="L12" s="5"/>
      <c r="M12" s="11" t="str">
        <f t="shared" si="0"/>
        <v>NOT EXECUTED</v>
      </c>
      <c r="N12" s="5"/>
    </row>
    <row r="13" spans="1:14" ht="24" customHeight="1" x14ac:dyDescent="0.3">
      <c r="A13" s="5" t="s">
        <v>248</v>
      </c>
      <c r="B13" s="10" t="str">
        <f>IFERROR(VLOOKUP(A13,'Test Cases'!$A$2:$S$52,2,FALSE),"")</f>
        <v>SwLLR20</v>
      </c>
      <c r="C13" s="5"/>
      <c r="D13" s="6"/>
      <c r="E13" s="10" t="str">
        <f>IFERROR(VLOOKUP(A13,'Test Cases'!$A$2:$S$52,15,FALSE),"")</f>
        <v>MODE_START</v>
      </c>
      <c r="F13" s="5"/>
      <c r="G13" s="11">
        <f>IFERROR(VLOOKUP(A13,'Test Cases'!$A$2:$S$52,16,FALSE),"")</f>
        <v>1</v>
      </c>
      <c r="H13" s="5"/>
      <c r="I13" s="11">
        <f>IFERROR(VLOOKUP(A13,'Test Cases'!$A$2:$S$52,17,FALSE),"")</f>
        <v>1</v>
      </c>
      <c r="J13" s="5"/>
      <c r="K13" s="11">
        <f>IFERROR(VLOOKUP(A13,'Test Cases'!$A$2:$S$52,18,FALSE),"")</f>
        <v>0</v>
      </c>
      <c r="L13" s="5"/>
      <c r="M13" s="11" t="str">
        <f t="shared" si="0"/>
        <v>NOT EXECUTED</v>
      </c>
      <c r="N13" s="5"/>
    </row>
    <row r="14" spans="1:14" ht="24" customHeight="1" x14ac:dyDescent="0.3">
      <c r="A14" s="5" t="s">
        <v>253</v>
      </c>
      <c r="B14" s="10" t="str">
        <f>IFERROR(VLOOKUP(A14,'Test Cases'!$A$2:$S$52,2,FALSE),"")</f>
        <v>SwLLR23</v>
      </c>
      <c r="C14" s="5"/>
      <c r="D14" s="6"/>
      <c r="E14" s="10" t="str">
        <f>IFERROR(VLOOKUP(A14,'Test Cases'!$A$2:$S$52,15,FALSE),"")</f>
        <v>MODE_ICE</v>
      </c>
      <c r="F14" s="5"/>
      <c r="G14" s="11">
        <f>IFERROR(VLOOKUP(A14,'Test Cases'!$A$2:$S$52,16,FALSE),"")</f>
        <v>0</v>
      </c>
      <c r="H14" s="5"/>
      <c r="I14" s="11">
        <f>IFERROR(VLOOKUP(A14,'Test Cases'!$A$2:$S$52,17,FALSE),"")</f>
        <v>1</v>
      </c>
      <c r="J14" s="5"/>
      <c r="K14" s="11">
        <f>IFERROR(VLOOKUP(A14,'Test Cases'!$A$2:$S$52,18,FALSE),"")</f>
        <v>1</v>
      </c>
      <c r="L14" s="5"/>
      <c r="M14" s="11" t="str">
        <f t="shared" si="0"/>
        <v>NOT EXECUTED</v>
      </c>
      <c r="N14" s="5"/>
    </row>
    <row r="15" spans="1:14" ht="24" customHeight="1" x14ac:dyDescent="0.3">
      <c r="A15" s="5" t="s">
        <v>257</v>
      </c>
      <c r="B15" s="10" t="str">
        <f>IFERROR(VLOOKUP(A15,'Test Cases'!$A$2:$S$52,2,FALSE),"")</f>
        <v>NfHLR02</v>
      </c>
      <c r="C15" s="5"/>
      <c r="D15" s="6"/>
      <c r="E15" s="10" t="str">
        <f>IFERROR(VLOOKUP(A15,'Test Cases'!$A$2:$S$52,15,FALSE),"")</f>
        <v>MODE_EV</v>
      </c>
      <c r="F15" s="5"/>
      <c r="G15" s="11">
        <f>IFERROR(VLOOKUP(A15,'Test Cases'!$A$2:$S$52,16,FALSE),"")</f>
        <v>1</v>
      </c>
      <c r="H15" s="5"/>
      <c r="I15" s="11">
        <f>IFERROR(VLOOKUP(A15,'Test Cases'!$A$2:$S$52,17,FALSE),"")</f>
        <v>0</v>
      </c>
      <c r="J15" s="5"/>
      <c r="K15" s="11">
        <f>IFERROR(VLOOKUP(A15,'Test Cases'!$A$2:$S$52,18,FALSE),"")</f>
        <v>0</v>
      </c>
      <c r="L15" s="5"/>
      <c r="M15" s="11" t="str">
        <f t="shared" si="0"/>
        <v>NOT EXECUTED</v>
      </c>
      <c r="N15" s="5"/>
    </row>
    <row r="16" spans="1:14" ht="24" customHeight="1" x14ac:dyDescent="0.3">
      <c r="A16" s="5" t="s">
        <v>259</v>
      </c>
      <c r="B16" s="10" t="str">
        <f>IFERROR(VLOOKUP(A16,'Test Cases'!$A$2:$S$52,2,FALSE),"")</f>
        <v>NfHLR04</v>
      </c>
      <c r="C16" s="5"/>
      <c r="D16" s="6"/>
      <c r="E16" s="10" t="str">
        <f>IFERROR(VLOOKUP(A16,'Test Cases'!$A$2:$S$52,15,FALSE),"")</f>
        <v>sequence</v>
      </c>
      <c r="F16" s="5"/>
      <c r="G16" s="11" t="str">
        <f>IFERROR(VLOOKUP(A16,'Test Cases'!$A$2:$S$52,16,FALSE),"")</f>
        <v>-</v>
      </c>
      <c r="H16" s="5"/>
      <c r="I16" s="11" t="str">
        <f>IFERROR(VLOOKUP(A16,'Test Cases'!$A$2:$S$52,17,FALSE),"")</f>
        <v>-</v>
      </c>
      <c r="J16" s="5"/>
      <c r="K16" s="11" t="str">
        <f>IFERROR(VLOOKUP(A16,'Test Cases'!$A$2:$S$52,18,FALSE),"")</f>
        <v>-</v>
      </c>
      <c r="L16" s="5"/>
      <c r="M16" s="11" t="str">
        <f t="shared" si="0"/>
        <v>NOT EXECUTED</v>
      </c>
      <c r="N16" s="5"/>
    </row>
    <row r="17" spans="1:14" ht="24" customHeight="1" x14ac:dyDescent="0.3">
      <c r="A17" s="5" t="s">
        <v>263</v>
      </c>
      <c r="B17" s="10" t="str">
        <f>IFERROR(VLOOKUP(A17,'Test Cases'!$A$2:$S$52,2,FALSE),"")</f>
        <v>SwLLR06</v>
      </c>
      <c r="C17" s="5"/>
      <c r="D17" s="6"/>
      <c r="E17" s="10">
        <f>IFERROR(VLOOKUP(A17,'Test Cases'!$A$2:$S$52,15,FALSE),"")</f>
        <v>0</v>
      </c>
      <c r="F17" s="5"/>
      <c r="G17" s="11">
        <f>IFERROR(VLOOKUP(A17,'Test Cases'!$A$2:$S$52,16,FALSE),"")</f>
        <v>0</v>
      </c>
      <c r="H17" s="5"/>
      <c r="I17" s="11">
        <f>IFERROR(VLOOKUP(A17,'Test Cases'!$A$2:$S$52,17,FALSE),"")</f>
        <v>0</v>
      </c>
      <c r="J17" s="5"/>
      <c r="K17" s="11">
        <f>IFERROR(VLOOKUP(A17,'Test Cases'!$A$2:$S$52,18,FALSE),"")</f>
        <v>0</v>
      </c>
      <c r="L17" s="5"/>
      <c r="M17" s="11" t="str">
        <f t="shared" si="0"/>
        <v>NOT EXECUTED</v>
      </c>
      <c r="N17" s="5"/>
    </row>
    <row r="18" spans="1:14" ht="24" customHeight="1" x14ac:dyDescent="0.3">
      <c r="A18" s="5" t="s">
        <v>267</v>
      </c>
      <c r="B18" s="10" t="str">
        <f>IFERROR(VLOOKUP(A18,'Test Cases'!$A$2:$S$52,2,FALSE),"")</f>
        <v>SwLLR07</v>
      </c>
      <c r="C18" s="5"/>
      <c r="D18" s="6"/>
      <c r="E18" s="10">
        <f>IFERROR(VLOOKUP(A18,'Test Cases'!$A$2:$S$52,15,FALSE),"")</f>
        <v>0</v>
      </c>
      <c r="F18" s="5"/>
      <c r="G18" s="11">
        <f>IFERROR(VLOOKUP(A18,'Test Cases'!$A$2:$S$52,16,FALSE),"")</f>
        <v>0</v>
      </c>
      <c r="H18" s="5"/>
      <c r="I18" s="11">
        <f>IFERROR(VLOOKUP(A18,'Test Cases'!$A$2:$S$52,17,FALSE),"")</f>
        <v>0</v>
      </c>
      <c r="J18" s="5"/>
      <c r="K18" s="11">
        <f>IFERROR(VLOOKUP(A18,'Test Cases'!$A$2:$S$52,18,FALSE),"")</f>
        <v>0</v>
      </c>
      <c r="L18" s="5"/>
      <c r="M18" s="11" t="str">
        <f t="shared" si="0"/>
        <v>NOT EXECUTED</v>
      </c>
      <c r="N18" s="5"/>
    </row>
    <row r="19" spans="1:14" ht="24" customHeight="1" x14ac:dyDescent="0.3">
      <c r="A19" s="5" t="s">
        <v>268</v>
      </c>
      <c r="B19" s="10" t="str">
        <f>IFERROR(VLOOKUP(A19,'Test Cases'!$A$2:$S$52,2,FALSE),"")</f>
        <v>SwLLR08</v>
      </c>
      <c r="C19" s="5"/>
      <c r="D19" s="6"/>
      <c r="E19" s="10">
        <f>IFERROR(VLOOKUP(A19,'Test Cases'!$A$2:$S$52,15,FALSE),"")</f>
        <v>0</v>
      </c>
      <c r="F19" s="5"/>
      <c r="G19" s="11">
        <f>IFERROR(VLOOKUP(A19,'Test Cases'!$A$2:$S$52,16,FALSE),"")</f>
        <v>0</v>
      </c>
      <c r="H19" s="5"/>
      <c r="I19" s="11">
        <f>IFERROR(VLOOKUP(A19,'Test Cases'!$A$2:$S$52,17,FALSE),"")</f>
        <v>0</v>
      </c>
      <c r="J19" s="5"/>
      <c r="K19" s="11">
        <f>IFERROR(VLOOKUP(A19,'Test Cases'!$A$2:$S$52,18,FALSE),"")</f>
        <v>0</v>
      </c>
      <c r="L19" s="5"/>
      <c r="M19" s="11" t="str">
        <f t="shared" si="0"/>
        <v>NOT EXECUTED</v>
      </c>
      <c r="N19" s="5"/>
    </row>
    <row r="20" spans="1:14" ht="24" customHeight="1" x14ac:dyDescent="0.3">
      <c r="A20" s="5" t="s">
        <v>269</v>
      </c>
      <c r="B20" s="10" t="str">
        <f>IFERROR(VLOOKUP(A20,'Test Cases'!$A$2:$S$52,2,FALSE),"")</f>
        <v>SwLLR10</v>
      </c>
      <c r="C20" s="5"/>
      <c r="D20" s="6"/>
      <c r="E20" s="10">
        <f>IFERROR(VLOOKUP(A20,'Test Cases'!$A$2:$S$52,15,FALSE),"")</f>
        <v>0</v>
      </c>
      <c r="F20" s="5"/>
      <c r="G20" s="11">
        <f>IFERROR(VLOOKUP(A20,'Test Cases'!$A$2:$S$52,16,FALSE),"")</f>
        <v>0</v>
      </c>
      <c r="H20" s="5"/>
      <c r="I20" s="11">
        <f>IFERROR(VLOOKUP(A20,'Test Cases'!$A$2:$S$52,17,FALSE),"")</f>
        <v>0</v>
      </c>
      <c r="J20" s="5"/>
      <c r="K20" s="11">
        <f>IFERROR(VLOOKUP(A20,'Test Cases'!$A$2:$S$52,18,FALSE),"")</f>
        <v>0</v>
      </c>
      <c r="L20" s="5"/>
      <c r="M20" s="11" t="str">
        <f t="shared" si="0"/>
        <v>NOT EXECUTED</v>
      </c>
      <c r="N20" s="5"/>
    </row>
    <row r="21" spans="1:14" ht="24" customHeight="1" x14ac:dyDescent="0.3">
      <c r="A21" s="5" t="s">
        <v>270</v>
      </c>
      <c r="B21" s="10" t="str">
        <f>IFERROR(VLOOKUP(A21,'Test Cases'!$A$2:$S$52,2,FALSE),"")</f>
        <v>SwLLR11</v>
      </c>
      <c r="C21" s="5"/>
      <c r="D21" s="6"/>
      <c r="E21" s="10">
        <f>IFERROR(VLOOKUP(A21,'Test Cases'!$A$2:$S$52,15,FALSE),"")</f>
        <v>0</v>
      </c>
      <c r="F21" s="5"/>
      <c r="G21" s="11">
        <f>IFERROR(VLOOKUP(A21,'Test Cases'!$A$2:$S$52,16,FALSE),"")</f>
        <v>0</v>
      </c>
      <c r="H21" s="5"/>
      <c r="I21" s="11">
        <f>IFERROR(VLOOKUP(A21,'Test Cases'!$A$2:$S$52,17,FALSE),"")</f>
        <v>0</v>
      </c>
      <c r="J21" s="5"/>
      <c r="K21" s="11">
        <f>IFERROR(VLOOKUP(A21,'Test Cases'!$A$2:$S$52,18,FALSE),"")</f>
        <v>0</v>
      </c>
      <c r="L21" s="5"/>
      <c r="M21" s="11" t="str">
        <f t="shared" si="0"/>
        <v>NOT EXECUTED</v>
      </c>
      <c r="N21" s="5"/>
    </row>
    <row r="22" spans="1:14" ht="24" customHeight="1" x14ac:dyDescent="0.3">
      <c r="A22" s="5" t="s">
        <v>271</v>
      </c>
      <c r="B22" s="10" t="str">
        <f>IFERROR(VLOOKUP(A22,'Test Cases'!$A$2:$S$52,2,FALSE),"")</f>
        <v>SwLLR12</v>
      </c>
      <c r="C22" s="5"/>
      <c r="D22" s="6"/>
      <c r="E22" s="10">
        <f>IFERROR(VLOOKUP(A22,'Test Cases'!$A$2:$S$52,15,FALSE),"")</f>
        <v>0</v>
      </c>
      <c r="F22" s="5"/>
      <c r="G22" s="11">
        <f>IFERROR(VLOOKUP(A22,'Test Cases'!$A$2:$S$52,16,FALSE),"")</f>
        <v>0</v>
      </c>
      <c r="H22" s="5"/>
      <c r="I22" s="11">
        <f>IFERROR(VLOOKUP(A22,'Test Cases'!$A$2:$S$52,17,FALSE),"")</f>
        <v>0</v>
      </c>
      <c r="J22" s="5"/>
      <c r="K22" s="11">
        <f>IFERROR(VLOOKUP(A22,'Test Cases'!$A$2:$S$52,18,FALSE),"")</f>
        <v>0</v>
      </c>
      <c r="L22" s="5"/>
      <c r="M22" s="11" t="str">
        <f t="shared" si="0"/>
        <v>NOT EXECUTED</v>
      </c>
      <c r="N22" s="5"/>
    </row>
    <row r="23" spans="1:14" ht="24" customHeight="1" x14ac:dyDescent="0.3">
      <c r="A23" s="5" t="s">
        <v>272</v>
      </c>
      <c r="B23" s="10" t="str">
        <f>IFERROR(VLOOKUP(A23,'Test Cases'!$A$2:$S$52,2,FALSE),"")</f>
        <v>SwLLR13</v>
      </c>
      <c r="C23" s="5"/>
      <c r="D23" s="6"/>
      <c r="E23" s="10">
        <f>IFERROR(VLOOKUP(A23,'Test Cases'!$A$2:$S$52,15,FALSE),"")</f>
        <v>0</v>
      </c>
      <c r="F23" s="5"/>
      <c r="G23" s="11">
        <f>IFERROR(VLOOKUP(A23,'Test Cases'!$A$2:$S$52,16,FALSE),"")</f>
        <v>0</v>
      </c>
      <c r="H23" s="5"/>
      <c r="I23" s="11">
        <f>IFERROR(VLOOKUP(A23,'Test Cases'!$A$2:$S$52,17,FALSE),"")</f>
        <v>0</v>
      </c>
      <c r="J23" s="5"/>
      <c r="K23" s="11">
        <f>IFERROR(VLOOKUP(A23,'Test Cases'!$A$2:$S$52,18,FALSE),"")</f>
        <v>0</v>
      </c>
      <c r="L23" s="5"/>
      <c r="M23" s="11" t="str">
        <f t="shared" si="0"/>
        <v>NOT EXECUTED</v>
      </c>
      <c r="N23" s="5"/>
    </row>
    <row r="24" spans="1:14" ht="24" customHeight="1" x14ac:dyDescent="0.3">
      <c r="A24" s="5" t="s">
        <v>273</v>
      </c>
      <c r="B24" s="10" t="str">
        <f>IFERROR(VLOOKUP(A24,'Test Cases'!$A$2:$S$52,2,FALSE),"")</f>
        <v>SwLLR14</v>
      </c>
      <c r="C24" s="5"/>
      <c r="D24" s="6"/>
      <c r="E24" s="10">
        <f>IFERROR(VLOOKUP(A24,'Test Cases'!$A$2:$S$52,15,FALSE),"")</f>
        <v>0</v>
      </c>
      <c r="F24" s="5"/>
      <c r="G24" s="11">
        <f>IFERROR(VLOOKUP(A24,'Test Cases'!$A$2:$S$52,16,FALSE),"")</f>
        <v>0</v>
      </c>
      <c r="H24" s="5"/>
      <c r="I24" s="11">
        <f>IFERROR(VLOOKUP(A24,'Test Cases'!$A$2:$S$52,17,FALSE),"")</f>
        <v>0</v>
      </c>
      <c r="J24" s="5"/>
      <c r="K24" s="11">
        <f>IFERROR(VLOOKUP(A24,'Test Cases'!$A$2:$S$52,18,FALSE),"")</f>
        <v>0</v>
      </c>
      <c r="L24" s="5"/>
      <c r="M24" s="11" t="str">
        <f t="shared" si="0"/>
        <v>NOT EXECUTED</v>
      </c>
      <c r="N24" s="5"/>
    </row>
    <row r="25" spans="1:14" ht="24" customHeight="1" x14ac:dyDescent="0.3">
      <c r="A25" s="5" t="s">
        <v>274</v>
      </c>
      <c r="B25" s="10" t="str">
        <f>IFERROR(VLOOKUP(A25,'Test Cases'!$A$2:$S$52,2,FALSE),"")</f>
        <v>SwLLR15</v>
      </c>
      <c r="C25" s="5"/>
      <c r="D25" s="6"/>
      <c r="E25" s="10">
        <f>IFERROR(VLOOKUP(A25,'Test Cases'!$A$2:$S$52,15,FALSE),"")</f>
        <v>0</v>
      </c>
      <c r="F25" s="5"/>
      <c r="G25" s="11">
        <f>IFERROR(VLOOKUP(A25,'Test Cases'!$A$2:$S$52,16,FALSE),"")</f>
        <v>0</v>
      </c>
      <c r="H25" s="5"/>
      <c r="I25" s="11">
        <f>IFERROR(VLOOKUP(A25,'Test Cases'!$A$2:$S$52,17,FALSE),"")</f>
        <v>0</v>
      </c>
      <c r="J25" s="5"/>
      <c r="K25" s="11">
        <f>IFERROR(VLOOKUP(A25,'Test Cases'!$A$2:$S$52,18,FALSE),"")</f>
        <v>0</v>
      </c>
      <c r="L25" s="5"/>
      <c r="M25" s="11" t="str">
        <f t="shared" si="0"/>
        <v>NOT EXECUTED</v>
      </c>
      <c r="N25" s="5"/>
    </row>
    <row r="26" spans="1:14" ht="24" customHeight="1" x14ac:dyDescent="0.3">
      <c r="A26" s="5" t="s">
        <v>275</v>
      </c>
      <c r="B26" s="10" t="str">
        <f>IFERROR(VLOOKUP(A26,'Test Cases'!$A$2:$S$52,2,FALSE),"")</f>
        <v>SwLLR16</v>
      </c>
      <c r="C26" s="5"/>
      <c r="D26" s="6"/>
      <c r="E26" s="10">
        <f>IFERROR(VLOOKUP(A26,'Test Cases'!$A$2:$S$52,15,FALSE),"")</f>
        <v>0</v>
      </c>
      <c r="F26" s="5"/>
      <c r="G26" s="11">
        <f>IFERROR(VLOOKUP(A26,'Test Cases'!$A$2:$S$52,16,FALSE),"")</f>
        <v>0</v>
      </c>
      <c r="H26" s="5"/>
      <c r="I26" s="11">
        <f>IFERROR(VLOOKUP(A26,'Test Cases'!$A$2:$S$52,17,FALSE),"")</f>
        <v>0</v>
      </c>
      <c r="J26" s="5"/>
      <c r="K26" s="11">
        <f>IFERROR(VLOOKUP(A26,'Test Cases'!$A$2:$S$52,18,FALSE),"")</f>
        <v>0</v>
      </c>
      <c r="L26" s="5"/>
      <c r="M26" s="11" t="str">
        <f t="shared" si="0"/>
        <v>NOT EXECUTED</v>
      </c>
      <c r="N26" s="5"/>
    </row>
    <row r="27" spans="1:14" ht="24" customHeight="1" x14ac:dyDescent="0.3">
      <c r="A27" s="5" t="s">
        <v>276</v>
      </c>
      <c r="B27" s="10" t="str">
        <f>IFERROR(VLOOKUP(A27,'Test Cases'!$A$2:$S$52,2,FALSE),"")</f>
        <v>SwLLR17</v>
      </c>
      <c r="C27" s="5"/>
      <c r="D27" s="6"/>
      <c r="E27" s="10">
        <f>IFERROR(VLOOKUP(A27,'Test Cases'!$A$2:$S$52,15,FALSE),"")</f>
        <v>0</v>
      </c>
      <c r="F27" s="5"/>
      <c r="G27" s="11">
        <f>IFERROR(VLOOKUP(A27,'Test Cases'!$A$2:$S$52,16,FALSE),"")</f>
        <v>0</v>
      </c>
      <c r="H27" s="5"/>
      <c r="I27" s="11">
        <f>IFERROR(VLOOKUP(A27,'Test Cases'!$A$2:$S$52,17,FALSE),"")</f>
        <v>0</v>
      </c>
      <c r="J27" s="5"/>
      <c r="K27" s="11">
        <f>IFERROR(VLOOKUP(A27,'Test Cases'!$A$2:$S$52,18,FALSE),"")</f>
        <v>0</v>
      </c>
      <c r="L27" s="5"/>
      <c r="M27" s="11" t="str">
        <f t="shared" si="0"/>
        <v>NOT EXECUTED</v>
      </c>
      <c r="N27" s="5"/>
    </row>
    <row r="28" spans="1:14" ht="24" customHeight="1" x14ac:dyDescent="0.3">
      <c r="A28" s="5" t="s">
        <v>277</v>
      </c>
      <c r="B28" s="10" t="str">
        <f>IFERROR(VLOOKUP(A28,'Test Cases'!$A$2:$S$52,2,FALSE),"")</f>
        <v>SwLLR19</v>
      </c>
      <c r="C28" s="5"/>
      <c r="D28" s="6"/>
      <c r="E28" s="10">
        <f>IFERROR(VLOOKUP(A28,'Test Cases'!$A$2:$S$52,15,FALSE),"")</f>
        <v>0</v>
      </c>
      <c r="F28" s="5"/>
      <c r="G28" s="11">
        <f>IFERROR(VLOOKUP(A28,'Test Cases'!$A$2:$S$52,16,FALSE),"")</f>
        <v>0</v>
      </c>
      <c r="H28" s="5"/>
      <c r="I28" s="11">
        <f>IFERROR(VLOOKUP(A28,'Test Cases'!$A$2:$S$52,17,FALSE),"")</f>
        <v>0</v>
      </c>
      <c r="J28" s="5"/>
      <c r="K28" s="11">
        <f>IFERROR(VLOOKUP(A28,'Test Cases'!$A$2:$S$52,18,FALSE),"")</f>
        <v>0</v>
      </c>
      <c r="L28" s="5"/>
      <c r="M28" s="11" t="str">
        <f t="shared" si="0"/>
        <v>NOT EXECUTED</v>
      </c>
      <c r="N28" s="5"/>
    </row>
    <row r="29" spans="1:14" ht="24" customHeight="1" x14ac:dyDescent="0.3">
      <c r="A29" s="5" t="s">
        <v>278</v>
      </c>
      <c r="B29" s="10" t="str">
        <f>IFERROR(VLOOKUP(A29,'Test Cases'!$A$2:$S$52,2,FALSE),"")</f>
        <v>SwLLR21</v>
      </c>
      <c r="C29" s="5"/>
      <c r="D29" s="6"/>
      <c r="E29" s="10">
        <f>IFERROR(VLOOKUP(A29,'Test Cases'!$A$2:$S$52,15,FALSE),"")</f>
        <v>0</v>
      </c>
      <c r="F29" s="5"/>
      <c r="G29" s="11">
        <f>IFERROR(VLOOKUP(A29,'Test Cases'!$A$2:$S$52,16,FALSE),"")</f>
        <v>0</v>
      </c>
      <c r="H29" s="5"/>
      <c r="I29" s="11">
        <f>IFERROR(VLOOKUP(A29,'Test Cases'!$A$2:$S$52,17,FALSE),"")</f>
        <v>0</v>
      </c>
      <c r="J29" s="5"/>
      <c r="K29" s="11">
        <f>IFERROR(VLOOKUP(A29,'Test Cases'!$A$2:$S$52,18,FALSE),"")</f>
        <v>0</v>
      </c>
      <c r="L29" s="5"/>
      <c r="M29" s="11" t="str">
        <f t="shared" si="0"/>
        <v>NOT EXECUTED</v>
      </c>
      <c r="N29" s="5"/>
    </row>
    <row r="30" spans="1:14" ht="24" customHeight="1" x14ac:dyDescent="0.3">
      <c r="A30" s="5" t="s">
        <v>281</v>
      </c>
      <c r="B30" s="10" t="str">
        <f>IFERROR(VLOOKUP(A30,'Test Cases'!$A$2:$S$52,2,FALSE),"")</f>
        <v>SwLLR22</v>
      </c>
      <c r="C30" s="5"/>
      <c r="D30" s="6"/>
      <c r="E30" s="10">
        <f>IFERROR(VLOOKUP(A30,'Test Cases'!$A$2:$S$52,15,FALSE),"")</f>
        <v>0</v>
      </c>
      <c r="F30" s="5"/>
      <c r="G30" s="11">
        <f>IFERROR(VLOOKUP(A30,'Test Cases'!$A$2:$S$52,16,FALSE),"")</f>
        <v>0</v>
      </c>
      <c r="H30" s="5"/>
      <c r="I30" s="11">
        <f>IFERROR(VLOOKUP(A30,'Test Cases'!$A$2:$S$52,17,FALSE),"")</f>
        <v>0</v>
      </c>
      <c r="J30" s="5"/>
      <c r="K30" s="11">
        <f>IFERROR(VLOOKUP(A30,'Test Cases'!$A$2:$S$52,18,FALSE),"")</f>
        <v>0</v>
      </c>
      <c r="L30" s="5"/>
      <c r="M30" s="11" t="str">
        <f t="shared" si="0"/>
        <v>NOT EXECUTED</v>
      </c>
      <c r="N30" s="5"/>
    </row>
    <row r="31" spans="1:14" ht="24" customHeight="1" x14ac:dyDescent="0.3">
      <c r="A31" s="5" t="s">
        <v>282</v>
      </c>
      <c r="B31" s="10" t="str">
        <f>IFERROR(VLOOKUP(A31,'Test Cases'!$A$2:$S$52,2,FALSE),"")</f>
        <v>SysHLR01</v>
      </c>
      <c r="C31" s="5"/>
      <c r="D31" s="6"/>
      <c r="E31" s="10">
        <f>IFERROR(VLOOKUP(A31,'Test Cases'!$A$2:$S$52,15,FALSE),"")</f>
        <v>0</v>
      </c>
      <c r="F31" s="5"/>
      <c r="G31" s="11">
        <f>IFERROR(VLOOKUP(A31,'Test Cases'!$A$2:$S$52,16,FALSE),"")</f>
        <v>0</v>
      </c>
      <c r="H31" s="5"/>
      <c r="I31" s="11">
        <f>IFERROR(VLOOKUP(A31,'Test Cases'!$A$2:$S$52,17,FALSE),"")</f>
        <v>0</v>
      </c>
      <c r="J31" s="5"/>
      <c r="K31" s="11">
        <f>IFERROR(VLOOKUP(A31,'Test Cases'!$A$2:$S$52,18,FALSE),"")</f>
        <v>0</v>
      </c>
      <c r="L31" s="5"/>
      <c r="M31" s="11" t="str">
        <f t="shared" si="0"/>
        <v>NOT EXECUTED</v>
      </c>
      <c r="N31" s="5"/>
    </row>
    <row r="32" spans="1:14" ht="24" customHeight="1" x14ac:dyDescent="0.3">
      <c r="A32" s="5" t="s">
        <v>284</v>
      </c>
      <c r="B32" s="10" t="str">
        <f>IFERROR(VLOOKUP(A32,'Test Cases'!$A$2:$S$52,2,FALSE),"")</f>
        <v>SysHLR02</v>
      </c>
      <c r="C32" s="5"/>
      <c r="D32" s="6"/>
      <c r="E32" s="10">
        <f>IFERROR(VLOOKUP(A32,'Test Cases'!$A$2:$S$52,15,FALSE),"")</f>
        <v>0</v>
      </c>
      <c r="F32" s="5"/>
      <c r="G32" s="11">
        <f>IFERROR(VLOOKUP(A32,'Test Cases'!$A$2:$S$52,16,FALSE),"")</f>
        <v>0</v>
      </c>
      <c r="H32" s="5"/>
      <c r="I32" s="11">
        <f>IFERROR(VLOOKUP(A32,'Test Cases'!$A$2:$S$52,17,FALSE),"")</f>
        <v>0</v>
      </c>
      <c r="J32" s="5"/>
      <c r="K32" s="11">
        <f>IFERROR(VLOOKUP(A32,'Test Cases'!$A$2:$S$52,18,FALSE),"")</f>
        <v>0</v>
      </c>
      <c r="L32" s="5"/>
      <c r="M32" s="11" t="str">
        <f t="shared" si="0"/>
        <v>NOT EXECUTED</v>
      </c>
      <c r="N32" s="5"/>
    </row>
    <row r="33" spans="1:14" ht="24" customHeight="1" x14ac:dyDescent="0.3">
      <c r="A33" s="5" t="s">
        <v>286</v>
      </c>
      <c r="B33" s="10" t="str">
        <f>IFERROR(VLOOKUP(A33,'Test Cases'!$A$2:$S$52,2,FALSE),"")</f>
        <v>SysHLR03</v>
      </c>
      <c r="C33" s="5"/>
      <c r="D33" s="6"/>
      <c r="E33" s="10">
        <f>IFERROR(VLOOKUP(A33,'Test Cases'!$A$2:$S$52,15,FALSE),"")</f>
        <v>0</v>
      </c>
      <c r="F33" s="5"/>
      <c r="G33" s="11">
        <f>IFERROR(VLOOKUP(A33,'Test Cases'!$A$2:$S$52,16,FALSE),"")</f>
        <v>0</v>
      </c>
      <c r="H33" s="5"/>
      <c r="I33" s="11">
        <f>IFERROR(VLOOKUP(A33,'Test Cases'!$A$2:$S$52,17,FALSE),"")</f>
        <v>0</v>
      </c>
      <c r="J33" s="5"/>
      <c r="K33" s="11">
        <f>IFERROR(VLOOKUP(A33,'Test Cases'!$A$2:$S$52,18,FALSE),"")</f>
        <v>0</v>
      </c>
      <c r="L33" s="5"/>
      <c r="M33" s="11" t="str">
        <f t="shared" si="0"/>
        <v>NOT EXECUTED</v>
      </c>
      <c r="N33" s="5"/>
    </row>
    <row r="34" spans="1:14" ht="24" customHeight="1" x14ac:dyDescent="0.3">
      <c r="A34" s="5" t="s">
        <v>289</v>
      </c>
      <c r="B34" s="10" t="str">
        <f>IFERROR(VLOOKUP(A34,'Test Cases'!$A$2:$S$52,2,FALSE),"")</f>
        <v>SwHLR03</v>
      </c>
      <c r="C34" s="5"/>
      <c r="D34" s="6"/>
      <c r="E34" s="10">
        <f>IFERROR(VLOOKUP(A34,'Test Cases'!$A$2:$S$52,15,FALSE),"")</f>
        <v>0</v>
      </c>
      <c r="F34" s="5"/>
      <c r="G34" s="11">
        <f>IFERROR(VLOOKUP(A34,'Test Cases'!$A$2:$S$52,16,FALSE),"")</f>
        <v>0</v>
      </c>
      <c r="H34" s="5"/>
      <c r="I34" s="11">
        <f>IFERROR(VLOOKUP(A34,'Test Cases'!$A$2:$S$52,17,FALSE),"")</f>
        <v>0</v>
      </c>
      <c r="J34" s="5"/>
      <c r="K34" s="11">
        <f>IFERROR(VLOOKUP(A34,'Test Cases'!$A$2:$S$52,18,FALSE),"")</f>
        <v>0</v>
      </c>
      <c r="L34" s="5"/>
      <c r="M34" s="11" t="str">
        <f t="shared" si="0"/>
        <v>NOT EXECUTED</v>
      </c>
      <c r="N34" s="5"/>
    </row>
    <row r="35" spans="1:14" ht="24" customHeight="1" x14ac:dyDescent="0.3">
      <c r="A35" s="5" t="s">
        <v>290</v>
      </c>
      <c r="B35" s="10" t="str">
        <f>IFERROR(VLOOKUP(A35,'Test Cases'!$A$2:$S$52,2,FALSE),"")</f>
        <v>SwHLR04</v>
      </c>
      <c r="C35" s="5"/>
      <c r="D35" s="6"/>
      <c r="E35" s="10">
        <f>IFERROR(VLOOKUP(A35,'Test Cases'!$A$2:$S$52,15,FALSE),"")</f>
        <v>0</v>
      </c>
      <c r="F35" s="5"/>
      <c r="G35" s="11">
        <f>IFERROR(VLOOKUP(A35,'Test Cases'!$A$2:$S$52,16,FALSE),"")</f>
        <v>0</v>
      </c>
      <c r="H35" s="5"/>
      <c r="I35" s="11">
        <f>IFERROR(VLOOKUP(A35,'Test Cases'!$A$2:$S$52,17,FALSE),"")</f>
        <v>0</v>
      </c>
      <c r="J35" s="5"/>
      <c r="K35" s="11">
        <f>IFERROR(VLOOKUP(A35,'Test Cases'!$A$2:$S$52,18,FALSE),"")</f>
        <v>0</v>
      </c>
      <c r="L35" s="5"/>
      <c r="M35" s="11" t="str">
        <f t="shared" si="0"/>
        <v>NOT EXECUTED</v>
      </c>
      <c r="N35" s="5"/>
    </row>
    <row r="36" spans="1:14" ht="24" customHeight="1" x14ac:dyDescent="0.3">
      <c r="A36" s="5" t="s">
        <v>291</v>
      </c>
      <c r="B36" s="10" t="str">
        <f>IFERROR(VLOOKUP(A36,'Test Cases'!$A$2:$S$52,2,FALSE),"")</f>
        <v>SwHLR05</v>
      </c>
      <c r="C36" s="5"/>
      <c r="D36" s="6"/>
      <c r="E36" s="10">
        <f>IFERROR(VLOOKUP(A36,'Test Cases'!$A$2:$S$52,15,FALSE),"")</f>
        <v>0</v>
      </c>
      <c r="F36" s="5"/>
      <c r="G36" s="11">
        <f>IFERROR(VLOOKUP(A36,'Test Cases'!$A$2:$S$52,16,FALSE),"")</f>
        <v>0</v>
      </c>
      <c r="H36" s="5"/>
      <c r="I36" s="11">
        <f>IFERROR(VLOOKUP(A36,'Test Cases'!$A$2:$S$52,17,FALSE),"")</f>
        <v>0</v>
      </c>
      <c r="J36" s="5"/>
      <c r="K36" s="11">
        <f>IFERROR(VLOOKUP(A36,'Test Cases'!$A$2:$S$52,18,FALSE),"")</f>
        <v>0</v>
      </c>
      <c r="L36" s="5"/>
      <c r="M36" s="11" t="str">
        <f t="shared" si="0"/>
        <v>NOT EXECUTED</v>
      </c>
      <c r="N36" s="5"/>
    </row>
    <row r="37" spans="1:14" ht="24" customHeight="1" x14ac:dyDescent="0.3">
      <c r="A37" s="5" t="s">
        <v>292</v>
      </c>
      <c r="B37" s="10" t="str">
        <f>IFERROR(VLOOKUP(A37,'Test Cases'!$A$2:$S$52,2,FALSE),"")</f>
        <v>SwHLR06</v>
      </c>
      <c r="C37" s="5"/>
      <c r="D37" s="6"/>
      <c r="E37" s="10">
        <f>IFERROR(VLOOKUP(A37,'Test Cases'!$A$2:$S$52,15,FALSE),"")</f>
        <v>0</v>
      </c>
      <c r="F37" s="5"/>
      <c r="G37" s="11">
        <f>IFERROR(VLOOKUP(A37,'Test Cases'!$A$2:$S$52,16,FALSE),"")</f>
        <v>0</v>
      </c>
      <c r="H37" s="5"/>
      <c r="I37" s="11">
        <f>IFERROR(VLOOKUP(A37,'Test Cases'!$A$2:$S$52,17,FALSE),"")</f>
        <v>0</v>
      </c>
      <c r="J37" s="5"/>
      <c r="K37" s="11">
        <f>IFERROR(VLOOKUP(A37,'Test Cases'!$A$2:$S$52,18,FALSE),"")</f>
        <v>0</v>
      </c>
      <c r="L37" s="5"/>
      <c r="M37" s="11" t="str">
        <f t="shared" si="0"/>
        <v>NOT EXECUTED</v>
      </c>
      <c r="N37" s="5"/>
    </row>
    <row r="38" spans="1:14" ht="24" customHeight="1" x14ac:dyDescent="0.3">
      <c r="A38" s="5" t="s">
        <v>293</v>
      </c>
      <c r="B38" s="10" t="str">
        <f>IFERROR(VLOOKUP(A38,'Test Cases'!$A$2:$S$52,2,FALSE),"")</f>
        <v>SwHLR07</v>
      </c>
      <c r="C38" s="5"/>
      <c r="D38" s="6"/>
      <c r="E38" s="10">
        <f>IFERROR(VLOOKUP(A38,'Test Cases'!$A$2:$S$52,15,FALSE),"")</f>
        <v>0</v>
      </c>
      <c r="F38" s="5"/>
      <c r="G38" s="11">
        <f>IFERROR(VLOOKUP(A38,'Test Cases'!$A$2:$S$52,16,FALSE),"")</f>
        <v>0</v>
      </c>
      <c r="H38" s="5"/>
      <c r="I38" s="11">
        <f>IFERROR(VLOOKUP(A38,'Test Cases'!$A$2:$S$52,17,FALSE),"")</f>
        <v>0</v>
      </c>
      <c r="J38" s="5"/>
      <c r="K38" s="11">
        <f>IFERROR(VLOOKUP(A38,'Test Cases'!$A$2:$S$52,18,FALSE),"")</f>
        <v>0</v>
      </c>
      <c r="L38" s="5"/>
      <c r="M38" s="11" t="str">
        <f t="shared" si="0"/>
        <v>NOT EXECUTED</v>
      </c>
      <c r="N38" s="5"/>
    </row>
    <row r="39" spans="1:14" ht="24" customHeight="1" x14ac:dyDescent="0.3">
      <c r="A39" s="5" t="s">
        <v>294</v>
      </c>
      <c r="B39" s="10" t="str">
        <f>IFERROR(VLOOKUP(A39,'Test Cases'!$A$2:$S$52,2,FALSE),"")</f>
        <v>SwHLR08</v>
      </c>
      <c r="C39" s="5"/>
      <c r="D39" s="6"/>
      <c r="E39" s="10">
        <f>IFERROR(VLOOKUP(A39,'Test Cases'!$A$2:$S$52,15,FALSE),"")</f>
        <v>0</v>
      </c>
      <c r="F39" s="5"/>
      <c r="G39" s="11">
        <f>IFERROR(VLOOKUP(A39,'Test Cases'!$A$2:$S$52,16,FALSE),"")</f>
        <v>0</v>
      </c>
      <c r="H39" s="5"/>
      <c r="I39" s="11">
        <f>IFERROR(VLOOKUP(A39,'Test Cases'!$A$2:$S$52,17,FALSE),"")</f>
        <v>0</v>
      </c>
      <c r="J39" s="5"/>
      <c r="K39" s="11">
        <f>IFERROR(VLOOKUP(A39,'Test Cases'!$A$2:$S$52,18,FALSE),"")</f>
        <v>0</v>
      </c>
      <c r="L39" s="5"/>
      <c r="M39" s="11" t="str">
        <f t="shared" si="0"/>
        <v>NOT EXECUTED</v>
      </c>
      <c r="N39" s="5"/>
    </row>
    <row r="40" spans="1:14" ht="24" customHeight="1" x14ac:dyDescent="0.3">
      <c r="A40" s="5" t="s">
        <v>296</v>
      </c>
      <c r="B40" s="10" t="str">
        <f>IFERROR(VLOOKUP(A40,'Test Cases'!$A$2:$S$52,2,FALSE),"")</f>
        <v>SwHLR09</v>
      </c>
      <c r="C40" s="5"/>
      <c r="D40" s="6"/>
      <c r="E40" s="10">
        <f>IFERROR(VLOOKUP(A40,'Test Cases'!$A$2:$S$52,15,FALSE),"")</f>
        <v>0</v>
      </c>
      <c r="F40" s="5"/>
      <c r="G40" s="11">
        <f>IFERROR(VLOOKUP(A40,'Test Cases'!$A$2:$S$52,16,FALSE),"")</f>
        <v>0</v>
      </c>
      <c r="H40" s="5"/>
      <c r="I40" s="11">
        <f>IFERROR(VLOOKUP(A40,'Test Cases'!$A$2:$S$52,17,FALSE),"")</f>
        <v>0</v>
      </c>
      <c r="J40" s="5"/>
      <c r="K40" s="11">
        <f>IFERROR(VLOOKUP(A40,'Test Cases'!$A$2:$S$52,18,FALSE),"")</f>
        <v>0</v>
      </c>
      <c r="L40" s="5"/>
      <c r="M40" s="11" t="str">
        <f t="shared" si="0"/>
        <v>NOT EXECUTED</v>
      </c>
      <c r="N40" s="5"/>
    </row>
    <row r="41" spans="1:14" ht="24" customHeight="1" x14ac:dyDescent="0.3">
      <c r="A41" s="5" t="s">
        <v>297</v>
      </c>
      <c r="B41" s="10" t="str">
        <f>IFERROR(VLOOKUP(A41,'Test Cases'!$A$2:$S$52,2,FALSE),"")</f>
        <v>NfHLR01</v>
      </c>
      <c r="C41" s="5"/>
      <c r="D41" s="6"/>
      <c r="E41" s="10">
        <f>IFERROR(VLOOKUP(A41,'Test Cases'!$A$2:$S$52,15,FALSE),"")</f>
        <v>0</v>
      </c>
      <c r="F41" s="5"/>
      <c r="G41" s="11">
        <f>IFERROR(VLOOKUP(A41,'Test Cases'!$A$2:$S$52,16,FALSE),"")</f>
        <v>0</v>
      </c>
      <c r="H41" s="5"/>
      <c r="I41" s="11">
        <f>IFERROR(VLOOKUP(A41,'Test Cases'!$A$2:$S$52,17,FALSE),"")</f>
        <v>0</v>
      </c>
      <c r="J41" s="5"/>
      <c r="K41" s="11">
        <f>IFERROR(VLOOKUP(A41,'Test Cases'!$A$2:$S$52,18,FALSE),"")</f>
        <v>0</v>
      </c>
      <c r="L41" s="5"/>
      <c r="M41" s="11" t="str">
        <f t="shared" si="0"/>
        <v>NOT EXECUTED</v>
      </c>
      <c r="N41" s="5"/>
    </row>
    <row r="42" spans="1:14" ht="24" customHeight="1" x14ac:dyDescent="0.3">
      <c r="A42" s="5" t="s">
        <v>300</v>
      </c>
      <c r="B42" s="10" t="str">
        <f>IFERROR(VLOOKUP(A42,'Test Cases'!$A$2:$S$52,2,FALSE),"")</f>
        <v>NfHLR03</v>
      </c>
      <c r="C42" s="5"/>
      <c r="D42" s="6"/>
      <c r="E42" s="10">
        <f>IFERROR(VLOOKUP(A42,'Test Cases'!$A$2:$S$52,15,FALSE),"")</f>
        <v>0</v>
      </c>
      <c r="F42" s="5"/>
      <c r="G42" s="11">
        <f>IFERROR(VLOOKUP(A42,'Test Cases'!$A$2:$S$52,16,FALSE),"")</f>
        <v>0</v>
      </c>
      <c r="H42" s="5"/>
      <c r="I42" s="11">
        <f>IFERROR(VLOOKUP(A42,'Test Cases'!$A$2:$S$52,17,FALSE),"")</f>
        <v>0</v>
      </c>
      <c r="J42" s="5"/>
      <c r="K42" s="11">
        <f>IFERROR(VLOOKUP(A42,'Test Cases'!$A$2:$S$52,18,FALSE),"")</f>
        <v>0</v>
      </c>
      <c r="L42" s="5"/>
      <c r="M42" s="11" t="str">
        <f t="shared" si="0"/>
        <v>NOT EXECUTED</v>
      </c>
      <c r="N42" s="5"/>
    </row>
    <row r="43" spans="1:14" x14ac:dyDescent="0.3">
      <c r="A43" s="5"/>
      <c r="B43" s="10" t="str">
        <f>IF(A43="","",IFERROR(VLOOKUP(A43,'Test Cases'!$A$2:$S$52,2,FALSE),""))</f>
        <v/>
      </c>
      <c r="C43" s="5"/>
      <c r="D43" s="6"/>
      <c r="E43" s="10" t="str">
        <f>IF(A43="","",IFERROR(VLOOKUP(A43,'Test Cases'!$A$2:$S$52,15,FALSE),""))</f>
        <v/>
      </c>
      <c r="F43" s="5"/>
      <c r="G43" s="11" t="str">
        <f>IF(A43="","",IFERROR(VLOOKUP(A43,'Test Cases'!$A$2:$S$52,16,FALSE),""))</f>
        <v/>
      </c>
      <c r="H43" s="5"/>
      <c r="I43" s="11" t="str">
        <f>IF(A43="","",IFERROR(VLOOKUP(A43,'Test Cases'!$A$2:$S$52,17,FALSE),""))</f>
        <v/>
      </c>
      <c r="J43" s="5"/>
      <c r="K43" s="11" t="str">
        <f>IF(A43="","",IFERROR(VLOOKUP(A43,'Test Cases'!$A$2:$S$52,18,FALSE),""))</f>
        <v/>
      </c>
      <c r="L43" s="5"/>
      <c r="M43" s="11" t="str">
        <f t="shared" ref="M43:M62" si="1">IF(A43="","",IF(COUNTA(F43,H43,J43,L43)=0,"NOT EXECUTED",IF(AND(F43=E43,H43=G43,J43=I43,L43=K43),"PASS","FAIL")))</f>
        <v/>
      </c>
      <c r="N43" s="5"/>
    </row>
    <row r="44" spans="1:14" x14ac:dyDescent="0.3">
      <c r="A44" s="5"/>
      <c r="B44" s="10" t="str">
        <f>IF(A44="","",IFERROR(VLOOKUP(A44,'Test Cases'!$A$2:$S$52,2,FALSE),""))</f>
        <v/>
      </c>
      <c r="C44" s="5"/>
      <c r="D44" s="6"/>
      <c r="E44" s="10" t="str">
        <f>IF(A44="","",IFERROR(VLOOKUP(A44,'Test Cases'!$A$2:$S$52,15,FALSE),""))</f>
        <v/>
      </c>
      <c r="F44" s="5"/>
      <c r="G44" s="11" t="str">
        <f>IF(A44="","",IFERROR(VLOOKUP(A44,'Test Cases'!$A$2:$S$52,16,FALSE),""))</f>
        <v/>
      </c>
      <c r="H44" s="5"/>
      <c r="I44" s="11" t="str">
        <f>IF(A44="","",IFERROR(VLOOKUP(A44,'Test Cases'!$A$2:$S$52,17,FALSE),""))</f>
        <v/>
      </c>
      <c r="J44" s="5"/>
      <c r="K44" s="11" t="str">
        <f>IF(A44="","",IFERROR(VLOOKUP(A44,'Test Cases'!$A$2:$S$52,18,FALSE),""))</f>
        <v/>
      </c>
      <c r="L44" s="5"/>
      <c r="M44" s="11" t="str">
        <f t="shared" si="1"/>
        <v/>
      </c>
      <c r="N44" s="5"/>
    </row>
    <row r="45" spans="1:14" x14ac:dyDescent="0.3">
      <c r="A45" s="5"/>
      <c r="B45" s="10" t="str">
        <f>IF(A45="","",IFERROR(VLOOKUP(A45,'Test Cases'!$A$2:$S$52,2,FALSE),""))</f>
        <v/>
      </c>
      <c r="C45" s="5"/>
      <c r="D45" s="6"/>
      <c r="E45" s="10" t="str">
        <f>IF(A45="","",IFERROR(VLOOKUP(A45,'Test Cases'!$A$2:$S$52,15,FALSE),""))</f>
        <v/>
      </c>
      <c r="F45" s="5"/>
      <c r="G45" s="11" t="str">
        <f>IF(A45="","",IFERROR(VLOOKUP(A45,'Test Cases'!$A$2:$S$52,16,FALSE),""))</f>
        <v/>
      </c>
      <c r="H45" s="5"/>
      <c r="I45" s="11" t="str">
        <f>IF(A45="","",IFERROR(VLOOKUP(A45,'Test Cases'!$A$2:$S$52,17,FALSE),""))</f>
        <v/>
      </c>
      <c r="J45" s="5"/>
      <c r="K45" s="11" t="str">
        <f>IF(A45="","",IFERROR(VLOOKUP(A45,'Test Cases'!$A$2:$S$52,18,FALSE),""))</f>
        <v/>
      </c>
      <c r="L45" s="5"/>
      <c r="M45" s="11" t="str">
        <f t="shared" si="1"/>
        <v/>
      </c>
      <c r="N45" s="5"/>
    </row>
    <row r="46" spans="1:14" x14ac:dyDescent="0.3">
      <c r="A46" s="5"/>
      <c r="B46" s="10" t="str">
        <f>IF(A46="","",IFERROR(VLOOKUP(A46,'Test Cases'!$A$2:$S$52,2,FALSE),""))</f>
        <v/>
      </c>
      <c r="C46" s="5"/>
      <c r="D46" s="6"/>
      <c r="E46" s="10" t="str">
        <f>IF(A46="","",IFERROR(VLOOKUP(A46,'Test Cases'!$A$2:$S$52,15,FALSE),""))</f>
        <v/>
      </c>
      <c r="F46" s="5"/>
      <c r="G46" s="11" t="str">
        <f>IF(A46="","",IFERROR(VLOOKUP(A46,'Test Cases'!$A$2:$S$52,16,FALSE),""))</f>
        <v/>
      </c>
      <c r="H46" s="5"/>
      <c r="I46" s="11" t="str">
        <f>IF(A46="","",IFERROR(VLOOKUP(A46,'Test Cases'!$A$2:$S$52,17,FALSE),""))</f>
        <v/>
      </c>
      <c r="J46" s="5"/>
      <c r="K46" s="11" t="str">
        <f>IF(A46="","",IFERROR(VLOOKUP(A46,'Test Cases'!$A$2:$S$52,18,FALSE),""))</f>
        <v/>
      </c>
      <c r="L46" s="5"/>
      <c r="M46" s="11" t="str">
        <f t="shared" si="1"/>
        <v/>
      </c>
      <c r="N46" s="5"/>
    </row>
    <row r="47" spans="1:14" x14ac:dyDescent="0.3">
      <c r="A47" s="5"/>
      <c r="B47" s="10" t="str">
        <f>IF(A47="","",IFERROR(VLOOKUP(A47,'Test Cases'!$A$2:$S$52,2,FALSE),""))</f>
        <v/>
      </c>
      <c r="C47" s="5"/>
      <c r="D47" s="6"/>
      <c r="E47" s="10" t="str">
        <f>IF(A47="","",IFERROR(VLOOKUP(A47,'Test Cases'!$A$2:$S$52,15,FALSE),""))</f>
        <v/>
      </c>
      <c r="F47" s="5"/>
      <c r="G47" s="11" t="str">
        <f>IF(A47="","",IFERROR(VLOOKUP(A47,'Test Cases'!$A$2:$S$52,16,FALSE),""))</f>
        <v/>
      </c>
      <c r="H47" s="5"/>
      <c r="I47" s="11" t="str">
        <f>IF(A47="","",IFERROR(VLOOKUP(A47,'Test Cases'!$A$2:$S$52,17,FALSE),""))</f>
        <v/>
      </c>
      <c r="J47" s="5"/>
      <c r="K47" s="11" t="str">
        <f>IF(A47="","",IFERROR(VLOOKUP(A47,'Test Cases'!$A$2:$S$52,18,FALSE),""))</f>
        <v/>
      </c>
      <c r="L47" s="5"/>
      <c r="M47" s="11" t="str">
        <f t="shared" si="1"/>
        <v/>
      </c>
      <c r="N47" s="5"/>
    </row>
    <row r="48" spans="1:14" x14ac:dyDescent="0.3">
      <c r="A48" s="5"/>
      <c r="B48" s="10" t="str">
        <f>IF(A48="","",IFERROR(VLOOKUP(A48,'Test Cases'!$A$2:$S$52,2,FALSE),""))</f>
        <v/>
      </c>
      <c r="C48" s="5"/>
      <c r="D48" s="6"/>
      <c r="E48" s="10" t="str">
        <f>IF(A48="","",IFERROR(VLOOKUP(A48,'Test Cases'!$A$2:$S$52,15,FALSE),""))</f>
        <v/>
      </c>
      <c r="F48" s="5"/>
      <c r="G48" s="11" t="str">
        <f>IF(A48="","",IFERROR(VLOOKUP(A48,'Test Cases'!$A$2:$S$52,16,FALSE),""))</f>
        <v/>
      </c>
      <c r="H48" s="5"/>
      <c r="I48" s="11" t="str">
        <f>IF(A48="","",IFERROR(VLOOKUP(A48,'Test Cases'!$A$2:$S$52,17,FALSE),""))</f>
        <v/>
      </c>
      <c r="J48" s="5"/>
      <c r="K48" s="11" t="str">
        <f>IF(A48="","",IFERROR(VLOOKUP(A48,'Test Cases'!$A$2:$S$52,18,FALSE),""))</f>
        <v/>
      </c>
      <c r="L48" s="5"/>
      <c r="M48" s="11" t="str">
        <f t="shared" si="1"/>
        <v/>
      </c>
      <c r="N48" s="5"/>
    </row>
    <row r="49" spans="1:14" x14ac:dyDescent="0.3">
      <c r="A49" s="5"/>
      <c r="B49" s="10" t="str">
        <f>IF(A49="","",IFERROR(VLOOKUP(A49,'Test Cases'!$A$2:$S$52,2,FALSE),""))</f>
        <v/>
      </c>
      <c r="C49" s="5"/>
      <c r="D49" s="6"/>
      <c r="E49" s="10" t="str">
        <f>IF(A49="","",IFERROR(VLOOKUP(A49,'Test Cases'!$A$2:$S$52,15,FALSE),""))</f>
        <v/>
      </c>
      <c r="F49" s="5"/>
      <c r="G49" s="11" t="str">
        <f>IF(A49="","",IFERROR(VLOOKUP(A49,'Test Cases'!$A$2:$S$52,16,FALSE),""))</f>
        <v/>
      </c>
      <c r="H49" s="5"/>
      <c r="I49" s="11" t="str">
        <f>IF(A49="","",IFERROR(VLOOKUP(A49,'Test Cases'!$A$2:$S$52,17,FALSE),""))</f>
        <v/>
      </c>
      <c r="J49" s="5"/>
      <c r="K49" s="11" t="str">
        <f>IF(A49="","",IFERROR(VLOOKUP(A49,'Test Cases'!$A$2:$S$52,18,FALSE),""))</f>
        <v/>
      </c>
      <c r="L49" s="5"/>
      <c r="M49" s="11" t="str">
        <f t="shared" si="1"/>
        <v/>
      </c>
      <c r="N49" s="5"/>
    </row>
    <row r="50" spans="1:14" x14ac:dyDescent="0.3">
      <c r="A50" s="5"/>
      <c r="B50" s="10" t="str">
        <f>IF(A50="","",IFERROR(VLOOKUP(A50,'Test Cases'!$A$2:$S$52,2,FALSE),""))</f>
        <v/>
      </c>
      <c r="C50" s="5"/>
      <c r="D50" s="6"/>
      <c r="E50" s="10" t="str">
        <f>IF(A50="","",IFERROR(VLOOKUP(A50,'Test Cases'!$A$2:$S$52,15,FALSE),""))</f>
        <v/>
      </c>
      <c r="F50" s="5"/>
      <c r="G50" s="11" t="str">
        <f>IF(A50="","",IFERROR(VLOOKUP(A50,'Test Cases'!$A$2:$S$52,16,FALSE),""))</f>
        <v/>
      </c>
      <c r="H50" s="5"/>
      <c r="I50" s="11" t="str">
        <f>IF(A50="","",IFERROR(VLOOKUP(A50,'Test Cases'!$A$2:$S$52,17,FALSE),""))</f>
        <v/>
      </c>
      <c r="J50" s="5"/>
      <c r="K50" s="11" t="str">
        <f>IF(A50="","",IFERROR(VLOOKUP(A50,'Test Cases'!$A$2:$S$52,18,FALSE),""))</f>
        <v/>
      </c>
      <c r="L50" s="5"/>
      <c r="M50" s="11" t="str">
        <f t="shared" si="1"/>
        <v/>
      </c>
      <c r="N50" s="5"/>
    </row>
    <row r="51" spans="1:14" x14ac:dyDescent="0.3">
      <c r="A51" s="5"/>
      <c r="B51" s="10" t="str">
        <f>IF(A51="","",IFERROR(VLOOKUP(A51,'Test Cases'!$A$2:$S$52,2,FALSE),""))</f>
        <v/>
      </c>
      <c r="C51" s="5"/>
      <c r="D51" s="6"/>
      <c r="E51" s="10" t="str">
        <f>IF(A51="","",IFERROR(VLOOKUP(A51,'Test Cases'!$A$2:$S$52,15,FALSE),""))</f>
        <v/>
      </c>
      <c r="F51" s="5"/>
      <c r="G51" s="11" t="str">
        <f>IF(A51="","",IFERROR(VLOOKUP(A51,'Test Cases'!$A$2:$S$52,16,FALSE),""))</f>
        <v/>
      </c>
      <c r="H51" s="5"/>
      <c r="I51" s="11" t="str">
        <f>IF(A51="","",IFERROR(VLOOKUP(A51,'Test Cases'!$A$2:$S$52,17,FALSE),""))</f>
        <v/>
      </c>
      <c r="J51" s="5"/>
      <c r="K51" s="11" t="str">
        <f>IF(A51="","",IFERROR(VLOOKUP(A51,'Test Cases'!$A$2:$S$52,18,FALSE),""))</f>
        <v/>
      </c>
      <c r="L51" s="5"/>
      <c r="M51" s="11" t="str">
        <f t="shared" si="1"/>
        <v/>
      </c>
      <c r="N51" s="5"/>
    </row>
    <row r="52" spans="1:14" x14ac:dyDescent="0.3">
      <c r="A52" s="5"/>
      <c r="B52" s="10" t="str">
        <f>IF(A52="","",IFERROR(VLOOKUP(A52,'Test Cases'!$A$2:$S$52,2,FALSE),""))</f>
        <v/>
      </c>
      <c r="C52" s="5"/>
      <c r="D52" s="6"/>
      <c r="E52" s="10" t="str">
        <f>IF(A52="","",IFERROR(VLOOKUP(A52,'Test Cases'!$A$2:$S$52,15,FALSE),""))</f>
        <v/>
      </c>
      <c r="F52" s="5"/>
      <c r="G52" s="11" t="str">
        <f>IF(A52="","",IFERROR(VLOOKUP(A52,'Test Cases'!$A$2:$S$52,16,FALSE),""))</f>
        <v/>
      </c>
      <c r="H52" s="5"/>
      <c r="I52" s="11" t="str">
        <f>IF(A52="","",IFERROR(VLOOKUP(A52,'Test Cases'!$A$2:$S$52,17,FALSE),""))</f>
        <v/>
      </c>
      <c r="J52" s="5"/>
      <c r="K52" s="11" t="str">
        <f>IF(A52="","",IFERROR(VLOOKUP(A52,'Test Cases'!$A$2:$S$52,18,FALSE),""))</f>
        <v/>
      </c>
      <c r="L52" s="5"/>
      <c r="M52" s="11" t="str">
        <f t="shared" si="1"/>
        <v/>
      </c>
      <c r="N52" s="5"/>
    </row>
    <row r="53" spans="1:14" x14ac:dyDescent="0.3">
      <c r="A53" s="5"/>
      <c r="B53" s="10" t="str">
        <f>IF(A53="","",IFERROR(VLOOKUP(A53,'Test Cases'!$A$2:$S$52,2,FALSE),""))</f>
        <v/>
      </c>
      <c r="C53" s="5"/>
      <c r="D53" s="6"/>
      <c r="E53" s="10" t="str">
        <f>IF(A53="","",IFERROR(VLOOKUP(A53,'Test Cases'!$A$2:$S$52,15,FALSE),""))</f>
        <v/>
      </c>
      <c r="F53" s="5"/>
      <c r="G53" s="11" t="str">
        <f>IF(A53="","",IFERROR(VLOOKUP(A53,'Test Cases'!$A$2:$S$52,16,FALSE),""))</f>
        <v/>
      </c>
      <c r="H53" s="5"/>
      <c r="I53" s="11" t="str">
        <f>IF(A53="","",IFERROR(VLOOKUP(A53,'Test Cases'!$A$2:$S$52,17,FALSE),""))</f>
        <v/>
      </c>
      <c r="J53" s="5"/>
      <c r="K53" s="11" t="str">
        <f>IF(A53="","",IFERROR(VLOOKUP(A53,'Test Cases'!$A$2:$S$52,18,FALSE),""))</f>
        <v/>
      </c>
      <c r="L53" s="5"/>
      <c r="M53" s="11" t="str">
        <f t="shared" si="1"/>
        <v/>
      </c>
      <c r="N53" s="5"/>
    </row>
    <row r="54" spans="1:14" x14ac:dyDescent="0.3">
      <c r="A54" s="5"/>
      <c r="B54" s="10" t="str">
        <f>IF(A54="","",IFERROR(VLOOKUP(A54,'Test Cases'!$A$2:$S$52,2,FALSE),""))</f>
        <v/>
      </c>
      <c r="C54" s="5"/>
      <c r="D54" s="6"/>
      <c r="E54" s="10" t="str">
        <f>IF(A54="","",IFERROR(VLOOKUP(A54,'Test Cases'!$A$2:$S$52,15,FALSE),""))</f>
        <v/>
      </c>
      <c r="F54" s="5"/>
      <c r="G54" s="11" t="str">
        <f>IF(A54="","",IFERROR(VLOOKUP(A54,'Test Cases'!$A$2:$S$52,16,FALSE),""))</f>
        <v/>
      </c>
      <c r="H54" s="5"/>
      <c r="I54" s="11" t="str">
        <f>IF(A54="","",IFERROR(VLOOKUP(A54,'Test Cases'!$A$2:$S$52,17,FALSE),""))</f>
        <v/>
      </c>
      <c r="J54" s="5"/>
      <c r="K54" s="11" t="str">
        <f>IF(A54="","",IFERROR(VLOOKUP(A54,'Test Cases'!$A$2:$S$52,18,FALSE),""))</f>
        <v/>
      </c>
      <c r="L54" s="5"/>
      <c r="M54" s="11" t="str">
        <f t="shared" si="1"/>
        <v/>
      </c>
      <c r="N54" s="5"/>
    </row>
    <row r="55" spans="1:14" x14ac:dyDescent="0.3">
      <c r="A55" s="5"/>
      <c r="B55" s="10" t="str">
        <f>IF(A55="","",IFERROR(VLOOKUP(A55,'Test Cases'!$A$2:$S$52,2,FALSE),""))</f>
        <v/>
      </c>
      <c r="C55" s="5"/>
      <c r="D55" s="6"/>
      <c r="E55" s="10" t="str">
        <f>IF(A55="","",IFERROR(VLOOKUP(A55,'Test Cases'!$A$2:$S$52,15,FALSE),""))</f>
        <v/>
      </c>
      <c r="F55" s="5"/>
      <c r="G55" s="11" t="str">
        <f>IF(A55="","",IFERROR(VLOOKUP(A55,'Test Cases'!$A$2:$S$52,16,FALSE),""))</f>
        <v/>
      </c>
      <c r="H55" s="5"/>
      <c r="I55" s="11" t="str">
        <f>IF(A55="","",IFERROR(VLOOKUP(A55,'Test Cases'!$A$2:$S$52,17,FALSE),""))</f>
        <v/>
      </c>
      <c r="J55" s="5"/>
      <c r="K55" s="11" t="str">
        <f>IF(A55="","",IFERROR(VLOOKUP(A55,'Test Cases'!$A$2:$S$52,18,FALSE),""))</f>
        <v/>
      </c>
      <c r="L55" s="5"/>
      <c r="M55" s="11" t="str">
        <f t="shared" si="1"/>
        <v/>
      </c>
      <c r="N55" s="5"/>
    </row>
    <row r="56" spans="1:14" x14ac:dyDescent="0.3">
      <c r="A56" s="5"/>
      <c r="B56" s="10" t="str">
        <f>IF(A56="","",IFERROR(VLOOKUP(A56,'Test Cases'!$A$2:$S$52,2,FALSE),""))</f>
        <v/>
      </c>
      <c r="C56" s="5"/>
      <c r="D56" s="6"/>
      <c r="E56" s="10" t="str">
        <f>IF(A56="","",IFERROR(VLOOKUP(A56,'Test Cases'!$A$2:$S$52,15,FALSE),""))</f>
        <v/>
      </c>
      <c r="F56" s="5"/>
      <c r="G56" s="11" t="str">
        <f>IF(A56="","",IFERROR(VLOOKUP(A56,'Test Cases'!$A$2:$S$52,16,FALSE),""))</f>
        <v/>
      </c>
      <c r="H56" s="5"/>
      <c r="I56" s="11" t="str">
        <f>IF(A56="","",IFERROR(VLOOKUP(A56,'Test Cases'!$A$2:$S$52,17,FALSE),""))</f>
        <v/>
      </c>
      <c r="J56" s="5"/>
      <c r="K56" s="11" t="str">
        <f>IF(A56="","",IFERROR(VLOOKUP(A56,'Test Cases'!$A$2:$S$52,18,FALSE),""))</f>
        <v/>
      </c>
      <c r="L56" s="5"/>
      <c r="M56" s="11" t="str">
        <f t="shared" si="1"/>
        <v/>
      </c>
      <c r="N56" s="5"/>
    </row>
    <row r="57" spans="1:14" x14ac:dyDescent="0.3">
      <c r="A57" s="5"/>
      <c r="B57" s="10" t="str">
        <f>IF(A57="","",IFERROR(VLOOKUP(A57,'Test Cases'!$A$2:$S$52,2,FALSE),""))</f>
        <v/>
      </c>
      <c r="C57" s="5"/>
      <c r="D57" s="6"/>
      <c r="E57" s="10" t="str">
        <f>IF(A57="","",IFERROR(VLOOKUP(A57,'Test Cases'!$A$2:$S$52,15,FALSE),""))</f>
        <v/>
      </c>
      <c r="F57" s="5"/>
      <c r="G57" s="11" t="str">
        <f>IF(A57="","",IFERROR(VLOOKUP(A57,'Test Cases'!$A$2:$S$52,16,FALSE),""))</f>
        <v/>
      </c>
      <c r="H57" s="5"/>
      <c r="I57" s="11" t="str">
        <f>IF(A57="","",IFERROR(VLOOKUP(A57,'Test Cases'!$A$2:$S$52,17,FALSE),""))</f>
        <v/>
      </c>
      <c r="J57" s="5"/>
      <c r="K57" s="11" t="str">
        <f>IF(A57="","",IFERROR(VLOOKUP(A57,'Test Cases'!$A$2:$S$52,18,FALSE),""))</f>
        <v/>
      </c>
      <c r="L57" s="5"/>
      <c r="M57" s="11" t="str">
        <f t="shared" si="1"/>
        <v/>
      </c>
      <c r="N57" s="5"/>
    </row>
    <row r="58" spans="1:14" x14ac:dyDescent="0.3">
      <c r="A58" s="5"/>
      <c r="B58" s="10" t="str">
        <f>IF(A58="","",IFERROR(VLOOKUP(A58,'Test Cases'!$A$2:$S$52,2,FALSE),""))</f>
        <v/>
      </c>
      <c r="C58" s="5"/>
      <c r="D58" s="6"/>
      <c r="E58" s="10" t="str">
        <f>IF(A58="","",IFERROR(VLOOKUP(A58,'Test Cases'!$A$2:$S$52,15,FALSE),""))</f>
        <v/>
      </c>
      <c r="F58" s="5"/>
      <c r="G58" s="11" t="str">
        <f>IF(A58="","",IFERROR(VLOOKUP(A58,'Test Cases'!$A$2:$S$52,16,FALSE),""))</f>
        <v/>
      </c>
      <c r="H58" s="5"/>
      <c r="I58" s="11" t="str">
        <f>IF(A58="","",IFERROR(VLOOKUP(A58,'Test Cases'!$A$2:$S$52,17,FALSE),""))</f>
        <v/>
      </c>
      <c r="J58" s="5"/>
      <c r="K58" s="11" t="str">
        <f>IF(A58="","",IFERROR(VLOOKUP(A58,'Test Cases'!$A$2:$S$52,18,FALSE),""))</f>
        <v/>
      </c>
      <c r="L58" s="5"/>
      <c r="M58" s="11" t="str">
        <f t="shared" si="1"/>
        <v/>
      </c>
      <c r="N58" s="5"/>
    </row>
    <row r="59" spans="1:14" x14ac:dyDescent="0.3">
      <c r="A59" s="5"/>
      <c r="B59" s="10" t="str">
        <f>IF(A59="","",IFERROR(VLOOKUP(A59,'Test Cases'!$A$2:$S$52,2,FALSE),""))</f>
        <v/>
      </c>
      <c r="C59" s="5"/>
      <c r="D59" s="6"/>
      <c r="E59" s="10" t="str">
        <f>IF(A59="","",IFERROR(VLOOKUP(A59,'Test Cases'!$A$2:$S$52,15,FALSE),""))</f>
        <v/>
      </c>
      <c r="F59" s="5"/>
      <c r="G59" s="11" t="str">
        <f>IF(A59="","",IFERROR(VLOOKUP(A59,'Test Cases'!$A$2:$S$52,16,FALSE),""))</f>
        <v/>
      </c>
      <c r="H59" s="5"/>
      <c r="I59" s="11" t="str">
        <f>IF(A59="","",IFERROR(VLOOKUP(A59,'Test Cases'!$A$2:$S$52,17,FALSE),""))</f>
        <v/>
      </c>
      <c r="J59" s="5"/>
      <c r="K59" s="11" t="str">
        <f>IF(A59="","",IFERROR(VLOOKUP(A59,'Test Cases'!$A$2:$S$52,18,FALSE),""))</f>
        <v/>
      </c>
      <c r="L59" s="5"/>
      <c r="M59" s="11" t="str">
        <f t="shared" si="1"/>
        <v/>
      </c>
      <c r="N59" s="5"/>
    </row>
    <row r="60" spans="1:14" x14ac:dyDescent="0.3">
      <c r="A60" s="5"/>
      <c r="B60" s="10" t="str">
        <f>IF(A60="","",IFERROR(VLOOKUP(A60,'Test Cases'!$A$2:$S$52,2,FALSE),""))</f>
        <v/>
      </c>
      <c r="C60" s="5"/>
      <c r="D60" s="6"/>
      <c r="E60" s="10" t="str">
        <f>IF(A60="","",IFERROR(VLOOKUP(A60,'Test Cases'!$A$2:$S$52,15,FALSE),""))</f>
        <v/>
      </c>
      <c r="F60" s="5"/>
      <c r="G60" s="11" t="str">
        <f>IF(A60="","",IFERROR(VLOOKUP(A60,'Test Cases'!$A$2:$S$52,16,FALSE),""))</f>
        <v/>
      </c>
      <c r="H60" s="5"/>
      <c r="I60" s="11" t="str">
        <f>IF(A60="","",IFERROR(VLOOKUP(A60,'Test Cases'!$A$2:$S$52,17,FALSE),""))</f>
        <v/>
      </c>
      <c r="J60" s="5"/>
      <c r="K60" s="11" t="str">
        <f>IF(A60="","",IFERROR(VLOOKUP(A60,'Test Cases'!$A$2:$S$52,18,FALSE),""))</f>
        <v/>
      </c>
      <c r="L60" s="5"/>
      <c r="M60" s="11" t="str">
        <f t="shared" si="1"/>
        <v/>
      </c>
      <c r="N60" s="5"/>
    </row>
    <row r="61" spans="1:14" x14ac:dyDescent="0.3">
      <c r="A61" s="5"/>
      <c r="B61" s="10" t="str">
        <f>IF(A61="","",IFERROR(VLOOKUP(A61,'Test Cases'!$A$2:$S$52,2,FALSE),""))</f>
        <v/>
      </c>
      <c r="C61" s="5"/>
      <c r="D61" s="6"/>
      <c r="E61" s="10" t="str">
        <f>IF(A61="","",IFERROR(VLOOKUP(A61,'Test Cases'!$A$2:$S$52,15,FALSE),""))</f>
        <v/>
      </c>
      <c r="F61" s="5"/>
      <c r="G61" s="11" t="str">
        <f>IF(A61="","",IFERROR(VLOOKUP(A61,'Test Cases'!$A$2:$S$52,16,FALSE),""))</f>
        <v/>
      </c>
      <c r="H61" s="5"/>
      <c r="I61" s="11" t="str">
        <f>IF(A61="","",IFERROR(VLOOKUP(A61,'Test Cases'!$A$2:$S$52,17,FALSE),""))</f>
        <v/>
      </c>
      <c r="J61" s="5"/>
      <c r="K61" s="11" t="str">
        <f>IF(A61="","",IFERROR(VLOOKUP(A61,'Test Cases'!$A$2:$S$52,18,FALSE),""))</f>
        <v/>
      </c>
      <c r="L61" s="5"/>
      <c r="M61" s="11" t="str">
        <f t="shared" si="1"/>
        <v/>
      </c>
      <c r="N61" s="5"/>
    </row>
    <row r="62" spans="1:14" x14ac:dyDescent="0.3">
      <c r="A62" s="5"/>
      <c r="B62" s="10" t="str">
        <f>IF(A62="","",IFERROR(VLOOKUP(A62,'Test Cases'!$A$2:$S$52,2,FALSE),""))</f>
        <v/>
      </c>
      <c r="C62" s="5"/>
      <c r="D62" s="6"/>
      <c r="E62" s="10" t="str">
        <f>IF(A62="","",IFERROR(VLOOKUP(A62,'Test Cases'!$A$2:$S$52,15,FALSE),""))</f>
        <v/>
      </c>
      <c r="F62" s="5"/>
      <c r="G62" s="11" t="str">
        <f>IF(A62="","",IFERROR(VLOOKUP(A62,'Test Cases'!$A$2:$S$52,16,FALSE),""))</f>
        <v/>
      </c>
      <c r="H62" s="5"/>
      <c r="I62" s="11" t="str">
        <f>IF(A62="","",IFERROR(VLOOKUP(A62,'Test Cases'!$A$2:$S$52,17,FALSE),""))</f>
        <v/>
      </c>
      <c r="J62" s="5"/>
      <c r="K62" s="11" t="str">
        <f>IF(A62="","",IFERROR(VLOOKUP(A62,'Test Cases'!$A$2:$S$52,18,FALSE),""))</f>
        <v/>
      </c>
      <c r="L62" s="5"/>
      <c r="M62" s="11" t="str">
        <f t="shared" si="1"/>
        <v/>
      </c>
      <c r="N62" s="5"/>
    </row>
  </sheetData>
  <conditionalFormatting sqref="M2:M62">
    <cfRule type="expression" dxfId="2" priority="1">
      <formula>$M2="PASS"</formula>
    </cfRule>
    <cfRule type="expression" dxfId="1" priority="2">
      <formula>$M2="FAIL"</formula>
    </cfRule>
    <cfRule type="expression" dxfId="0" priority="3">
      <formula>OR($M2="NOT EXECUTED",$M2="BLOCKED",$M2="N/A")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24"/>
  <sheetViews>
    <sheetView showGridLines="0" workbookViewId="0">
      <selection activeCell="D20" sqref="D20"/>
    </sheetView>
  </sheetViews>
  <sheetFormatPr defaultRowHeight="14.4" x14ac:dyDescent="0.3"/>
  <cols>
    <col min="1" max="1" width="3" customWidth="1"/>
    <col min="2" max="2" width="32" customWidth="1"/>
    <col min="3" max="6" width="16" customWidth="1"/>
  </cols>
  <sheetData>
    <row r="2" spans="2:6" ht="21" x14ac:dyDescent="0.4">
      <c r="B2" s="17" t="s">
        <v>316</v>
      </c>
      <c r="C2" s="15"/>
      <c r="D2" s="15"/>
      <c r="E2" s="15"/>
      <c r="F2" s="15"/>
    </row>
    <row r="4" spans="2:6" x14ac:dyDescent="0.3">
      <c r="B4" s="16" t="s">
        <v>317</v>
      </c>
      <c r="C4" s="15"/>
      <c r="D4" s="15"/>
      <c r="E4" s="15"/>
      <c r="F4" s="15"/>
    </row>
    <row r="5" spans="2:6" x14ac:dyDescent="0.3">
      <c r="B5" s="12" t="s">
        <v>318</v>
      </c>
      <c r="C5" s="5">
        <f>COUNTA(Requirements!A2:A41)</f>
        <v>40</v>
      </c>
    </row>
    <row r="6" spans="2:6" x14ac:dyDescent="0.3">
      <c r="B6" s="12" t="s">
        <v>319</v>
      </c>
      <c r="C6" s="5">
        <f>COUNTIF(Requirements!G2:G41,"YES")</f>
        <v>40</v>
      </c>
    </row>
    <row r="7" spans="2:6" x14ac:dyDescent="0.3">
      <c r="B7" s="12" t="s">
        <v>320</v>
      </c>
      <c r="C7" s="5">
        <f>COUNTIF(Requirements!G2:G41,"NO")</f>
        <v>0</v>
      </c>
    </row>
    <row r="8" spans="2:6" x14ac:dyDescent="0.3">
      <c r="B8" s="12" t="s">
        <v>321</v>
      </c>
      <c r="C8" s="13">
        <f>IFERROR(C6/C5,0)</f>
        <v>1</v>
      </c>
    </row>
    <row r="10" spans="2:6" x14ac:dyDescent="0.3">
      <c r="B10" s="16" t="s">
        <v>322</v>
      </c>
      <c r="C10" s="15"/>
      <c r="D10" s="15"/>
      <c r="E10" s="15"/>
      <c r="F10" s="15"/>
    </row>
    <row r="11" spans="2:6" x14ac:dyDescent="0.3">
      <c r="B11" s="4" t="s">
        <v>39</v>
      </c>
      <c r="C11" s="4" t="s">
        <v>323</v>
      </c>
      <c r="D11" s="4" t="s">
        <v>324</v>
      </c>
      <c r="E11" s="4" t="s">
        <v>325</v>
      </c>
      <c r="F11" s="4" t="s">
        <v>321</v>
      </c>
    </row>
    <row r="12" spans="2:6" x14ac:dyDescent="0.3">
      <c r="B12" s="6" t="s">
        <v>48</v>
      </c>
      <c r="C12" s="5">
        <f>COUNTIF(Requirements!B2:B41,B12)</f>
        <v>3</v>
      </c>
      <c r="D12" s="5">
        <f>COUNTIFS(Requirements!B2:B41,B12,Requirements!G2:G41,"YES")</f>
        <v>3</v>
      </c>
      <c r="E12" s="5">
        <f>COUNTIFS(Requirements!B2:B41,B12,Requirements!G2:G41,"NO")</f>
        <v>0</v>
      </c>
      <c r="F12" s="13">
        <f>IFERROR(D12/C12,0)</f>
        <v>1</v>
      </c>
    </row>
    <row r="13" spans="2:6" x14ac:dyDescent="0.3">
      <c r="B13" s="6" t="s">
        <v>60</v>
      </c>
      <c r="C13" s="5">
        <f>COUNTIF(Requirements!B2:B41,B13)</f>
        <v>10</v>
      </c>
      <c r="D13" s="5">
        <f>COUNTIFS(Requirements!B2:B41,B13,Requirements!G2:G41,"YES")</f>
        <v>10</v>
      </c>
      <c r="E13" s="5">
        <f>COUNTIFS(Requirements!B2:B41,B13,Requirements!G2:G41,"NO")</f>
        <v>0</v>
      </c>
      <c r="F13" s="13">
        <f>IFERROR(D13/C13,0)</f>
        <v>1</v>
      </c>
    </row>
    <row r="14" spans="2:6" x14ac:dyDescent="0.3">
      <c r="B14" s="6" t="s">
        <v>98</v>
      </c>
      <c r="C14" s="5">
        <f>COUNTIF(Requirements!B2:B41,B14)</f>
        <v>23</v>
      </c>
      <c r="D14" s="5">
        <f>COUNTIFS(Requirements!B2:B41,B14,Requirements!G2:G41,"YES")</f>
        <v>23</v>
      </c>
      <c r="E14" s="5">
        <f>COUNTIFS(Requirements!B2:B41,B14,Requirements!G2:G41,"NO")</f>
        <v>0</v>
      </c>
      <c r="F14" s="13">
        <f>IFERROR(D14/C14,0)</f>
        <v>1</v>
      </c>
    </row>
    <row r="15" spans="2:6" x14ac:dyDescent="0.3">
      <c r="B15" s="6" t="s">
        <v>175</v>
      </c>
      <c r="C15" s="5">
        <f>COUNTIF(Requirements!B2:B41,B15)</f>
        <v>4</v>
      </c>
      <c r="D15" s="5">
        <f>COUNTIFS(Requirements!B2:B41,B15,Requirements!G2:G41,"YES")</f>
        <v>4</v>
      </c>
      <c r="E15" s="5">
        <f>COUNTIFS(Requirements!B2:B41,B15,Requirements!G2:G41,"NO")</f>
        <v>0</v>
      </c>
      <c r="F15" s="13">
        <f>IFERROR(D15/C15,0)</f>
        <v>1</v>
      </c>
    </row>
    <row r="17" spans="2:6" x14ac:dyDescent="0.3">
      <c r="B17" s="16" t="s">
        <v>23</v>
      </c>
      <c r="C17" s="15"/>
      <c r="D17" s="15"/>
      <c r="E17" s="15"/>
      <c r="F17" s="15"/>
    </row>
    <row r="18" spans="2:6" x14ac:dyDescent="0.3">
      <c r="B18" s="12" t="s">
        <v>326</v>
      </c>
      <c r="C18" s="5">
        <f>COUNTA('Test Cases'!A2:A52)</f>
        <v>41</v>
      </c>
    </row>
    <row r="19" spans="2:6" x14ac:dyDescent="0.3">
      <c r="B19" s="12" t="s">
        <v>327</v>
      </c>
      <c r="C19" s="5">
        <f>COUNTIF('Test Execution'!M2:M62,"PASS")</f>
        <v>0</v>
      </c>
    </row>
    <row r="20" spans="2:6" x14ac:dyDescent="0.3">
      <c r="B20" s="12" t="s">
        <v>328</v>
      </c>
      <c r="C20" s="5">
        <f>COUNTIF('Test Execution'!M2:M62,"FAIL")</f>
        <v>0</v>
      </c>
    </row>
    <row r="21" spans="2:6" x14ac:dyDescent="0.3">
      <c r="B21" s="12" t="s">
        <v>329</v>
      </c>
      <c r="C21" s="5">
        <f>COUNTIF('Test Execution'!M2:M62,"NOT EXECUTED")</f>
        <v>41</v>
      </c>
    </row>
    <row r="22" spans="2:6" x14ac:dyDescent="0.3">
      <c r="B22" s="12" t="s">
        <v>34</v>
      </c>
      <c r="C22" s="5">
        <f>COUNTIF('Test Execution'!M2:M62,"N/A")</f>
        <v>0</v>
      </c>
    </row>
    <row r="23" spans="2:6" x14ac:dyDescent="0.3">
      <c r="B23" s="12" t="s">
        <v>330</v>
      </c>
      <c r="C23" s="5">
        <f>COUNTIF('Test Execution'!M2:M62,"BLOCKED")</f>
        <v>0</v>
      </c>
    </row>
    <row r="24" spans="2:6" x14ac:dyDescent="0.3">
      <c r="B24" s="12" t="s">
        <v>331</v>
      </c>
      <c r="C24" s="13">
        <f>IFERROR(C19/(C19+C20),0)</f>
        <v>0</v>
      </c>
    </row>
  </sheetData>
  <mergeCells count="4">
    <mergeCell ref="B2:F2"/>
    <mergeCell ref="B4:F4"/>
    <mergeCell ref="B10:F10"/>
    <mergeCell ref="B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Cover</vt:lpstr>
      <vt:lpstr>Requirements</vt:lpstr>
      <vt:lpstr>Test Cases</vt:lpstr>
      <vt:lpstr>Traceability Matrix</vt:lpstr>
      <vt:lpstr>Test Execution</vt:lpstr>
      <vt:lpstr>Coverage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igor</cp:lastModifiedBy>
  <dcterms:created xsi:type="dcterms:W3CDTF">2026-04-23T16:39:16Z</dcterms:created>
  <dcterms:modified xsi:type="dcterms:W3CDTF">2026-04-23T18:05:06Z</dcterms:modified>
</cp:coreProperties>
</file>