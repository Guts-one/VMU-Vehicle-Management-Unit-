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sta\Desktop\Pull_Request_planilha\tests\"/>
    </mc:Choice>
  </mc:AlternateContent>
  <xr:revisionPtr revIDLastSave="0" documentId="13_ncr:1_{6C34D396-2918-41E2-A3ED-2AA4ACD9C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Requirements" sheetId="2" r:id="rId2"/>
    <sheet name="Test Cases" sheetId="3" r:id="rId3"/>
    <sheet name="Traceability Matrix" sheetId="4" r:id="rId4"/>
    <sheet name="Test Execution" sheetId="5" r:id="rId5"/>
    <sheet name="Coverage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C15" i="6"/>
  <c r="C14" i="6"/>
  <c r="C13" i="6"/>
  <c r="C12" i="6"/>
  <c r="C5" i="6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C23" i="6" s="1"/>
  <c r="H41" i="2"/>
  <c r="I41" i="2" s="1"/>
  <c r="G41" i="2"/>
  <c r="H40" i="2"/>
  <c r="I40" i="2" s="1"/>
  <c r="I39" i="2"/>
  <c r="H39" i="2"/>
  <c r="G39" i="2" s="1"/>
  <c r="H38" i="2"/>
  <c r="I38" i="2" s="1"/>
  <c r="H37" i="2"/>
  <c r="I37" i="2" s="1"/>
  <c r="G37" i="2"/>
  <c r="H36" i="2"/>
  <c r="I36" i="2" s="1"/>
  <c r="G36" i="2"/>
  <c r="H35" i="2"/>
  <c r="I35" i="2" s="1"/>
  <c r="H34" i="2"/>
  <c r="I34" i="2" s="1"/>
  <c r="H33" i="2"/>
  <c r="I33" i="2" s="1"/>
  <c r="G33" i="2"/>
  <c r="H32" i="2"/>
  <c r="G32" i="2" s="1"/>
  <c r="I31" i="2"/>
  <c r="H31" i="2"/>
  <c r="G31" i="2" s="1"/>
  <c r="H30" i="2"/>
  <c r="I30" i="2" s="1"/>
  <c r="H29" i="2"/>
  <c r="I29" i="2" s="1"/>
  <c r="G29" i="2"/>
  <c r="H28" i="2"/>
  <c r="I28" i="2" s="1"/>
  <c r="I27" i="2"/>
  <c r="H27" i="2"/>
  <c r="G27" i="2"/>
  <c r="H26" i="2"/>
  <c r="I26" i="2" s="1"/>
  <c r="H25" i="2"/>
  <c r="I25" i="2" s="1"/>
  <c r="G25" i="2"/>
  <c r="I24" i="2"/>
  <c r="H24" i="2"/>
  <c r="G24" i="2"/>
  <c r="H23" i="2"/>
  <c r="I23" i="2" s="1"/>
  <c r="G23" i="2"/>
  <c r="H22" i="2"/>
  <c r="I22" i="2" s="1"/>
  <c r="I21" i="2"/>
  <c r="H21" i="2"/>
  <c r="G21" i="2"/>
  <c r="H20" i="2"/>
  <c r="I20" i="2" s="1"/>
  <c r="G20" i="2"/>
  <c r="H19" i="2"/>
  <c r="I19" i="2" s="1"/>
  <c r="H18" i="2"/>
  <c r="G18" i="2" s="1"/>
  <c r="I17" i="2"/>
  <c r="H17" i="2"/>
  <c r="G17" i="2"/>
  <c r="H16" i="2"/>
  <c r="G16" i="2" s="1"/>
  <c r="I15" i="2"/>
  <c r="H15" i="2"/>
  <c r="G15" i="2" s="1"/>
  <c r="H14" i="2"/>
  <c r="G14" i="2" s="1"/>
  <c r="H13" i="2"/>
  <c r="I13" i="2" s="1"/>
  <c r="G13" i="2"/>
  <c r="H12" i="2"/>
  <c r="I12" i="2" s="1"/>
  <c r="I11" i="2"/>
  <c r="H11" i="2"/>
  <c r="G11" i="2"/>
  <c r="H10" i="2"/>
  <c r="I10" i="2" s="1"/>
  <c r="H9" i="2"/>
  <c r="I9" i="2" s="1"/>
  <c r="I8" i="2"/>
  <c r="H8" i="2"/>
  <c r="G8" i="2"/>
  <c r="H7" i="2"/>
  <c r="G7" i="2" s="1"/>
  <c r="H6" i="2"/>
  <c r="I6" i="2" s="1"/>
  <c r="I5" i="2"/>
  <c r="H5" i="2"/>
  <c r="G5" i="2"/>
  <c r="H4" i="2"/>
  <c r="I4" i="2" s="1"/>
  <c r="G4" i="2"/>
  <c r="H3" i="2"/>
  <c r="I3" i="2" s="1"/>
  <c r="H2" i="2"/>
  <c r="G2" i="2" s="1"/>
  <c r="E12" i="6" l="1"/>
  <c r="D12" i="6"/>
  <c r="F12" i="6" s="1"/>
  <c r="G6" i="2"/>
  <c r="E13" i="6" s="1"/>
  <c r="I16" i="2"/>
  <c r="G22" i="2"/>
  <c r="I32" i="2"/>
  <c r="G38" i="2"/>
  <c r="G12" i="2"/>
  <c r="G28" i="2"/>
  <c r="G34" i="2"/>
  <c r="G40" i="2"/>
  <c r="I2" i="2"/>
  <c r="I18" i="2"/>
  <c r="G3" i="2"/>
  <c r="G19" i="2"/>
  <c r="E14" i="6" s="1"/>
  <c r="G35" i="2"/>
  <c r="G30" i="2"/>
  <c r="I7" i="2"/>
  <c r="C19" i="6"/>
  <c r="G9" i="2"/>
  <c r="C7" i="6" s="1"/>
  <c r="I14" i="2"/>
  <c r="C20" i="6"/>
  <c r="G10" i="2"/>
  <c r="G26" i="2"/>
  <c r="C21" i="6"/>
  <c r="C22" i="6"/>
  <c r="D13" i="6"/>
  <c r="F13" i="6" s="1"/>
  <c r="C6" i="6" l="1"/>
  <c r="C8" i="6" s="1"/>
  <c r="D14" i="6"/>
  <c r="F14" i="6" s="1"/>
  <c r="E15" i="6"/>
  <c r="D15" i="6"/>
  <c r="F15" i="6" s="1"/>
  <c r="C24" i="6"/>
</calcChain>
</file>

<file path=xl/sharedStrings.xml><?xml version="1.0" encoding="utf-8"?>
<sst xmlns="http://schemas.openxmlformats.org/spreadsheetml/2006/main" count="4137" uniqueCount="601">
  <si>
    <t>Req ID</t>
  </si>
  <si>
    <t>TC ID</t>
  </si>
  <si>
    <t>Test Function</t>
  </si>
  <si>
    <t>Code Element</t>
  </si>
  <si>
    <t>File</t>
  </si>
  <si>
    <t>Line Number</t>
  </si>
  <si>
    <t>Verification Criteria</t>
  </si>
  <si>
    <t>Test File</t>
  </si>
  <si>
    <t>Test Line</t>
  </si>
  <si>
    <t>Remarks</t>
  </si>
  <si>
    <t>SwHLR01</t>
  </si>
  <si>
    <t>TC_PE_001</t>
  </si>
  <si>
    <t>test_ModeLogic_Init_sets_standstill</t>
  </si>
  <si>
    <t>ModeLogic_Init</t>
  </si>
  <si>
    <t>src/mode_logic_team.c</t>
  </si>
  <si>
    <t>247-253</t>
  </si>
  <si>
    <t>Unity unit test result</t>
  </si>
  <si>
    <t>tests/Person_E_Gustavo/test_person_e.c</t>
  </si>
  <si>
    <t>SwHLR10</t>
  </si>
  <si>
    <t>TC_PE_002</t>
  </si>
  <si>
    <t>test_ModeLogic_Init_tolerates_null</t>
  </si>
  <si>
    <t>ModeLogic_Init; ModeLogic_Step default</t>
  </si>
  <si>
    <t>247-253, 255-296</t>
  </si>
  <si>
    <t>TC_PE_003</t>
  </si>
  <si>
    <t>test_ModeLogic_Step_tolerates_null_args</t>
  </si>
  <si>
    <t>SwLLR09</t>
  </si>
  <si>
    <t>TC_PE_004</t>
  </si>
  <si>
    <t>test_SwLLR09_Start_to_RegenB_positive</t>
  </si>
  <si>
    <t>motion_ice_common_exit</t>
  </si>
  <si>
    <t>91-94</t>
  </si>
  <si>
    <t>TC_PE_005</t>
  </si>
  <si>
    <t>test_SwLLR09_Start_blocked_by_wEng_not_over_ENG_ON</t>
  </si>
  <si>
    <t>TC_PE_006</t>
  </si>
  <si>
    <t>test_SwLLR09_Start_blocked_by_speed_not_over_SPEED_REGEN</t>
  </si>
  <si>
    <t>TC_PE_007</t>
  </si>
  <si>
    <t>test_SwLLR09_Start_blocked_by_P_dem_not_under_PDEM_REGEN</t>
  </si>
  <si>
    <t>SwLLR10</t>
  </si>
  <si>
    <t>TC_PE_008</t>
  </si>
  <si>
    <t>test_SwLLR10_ICE_to_RegenB_positive</t>
  </si>
  <si>
    <t>TC_PE_009</t>
  </si>
  <si>
    <t>test_SwLLR10_ICE_blocked_by_wEng</t>
  </si>
  <si>
    <t>TC_PE_010</t>
  </si>
  <si>
    <t>test_SwLLR10_ICE_blocked_by_speed</t>
  </si>
  <si>
    <t>TC_PE_011</t>
  </si>
  <si>
    <t>test_SwLLR10_ICE_blocked_by_P_dem</t>
  </si>
  <si>
    <t>SwLLR11</t>
  </si>
  <si>
    <t>TC_PE_012</t>
  </si>
  <si>
    <t>test_SwLLR11_Hybrid_to_RegenB_positive</t>
  </si>
  <si>
    <t>TC_PE_013</t>
  </si>
  <si>
    <t>test_SwLLR11_Hybrid_blocked_by_wEng</t>
  </si>
  <si>
    <t>TC_PE_014</t>
  </si>
  <si>
    <t>test_SwLLR11_Hybrid_blocked_by_speed</t>
  </si>
  <si>
    <t>TC_PE_015</t>
  </si>
  <si>
    <t>test_SwLLR11_Hybrid_blocked_by_P_dem</t>
  </si>
  <si>
    <t>SwLLR12</t>
  </si>
  <si>
    <t>TC_PE_016</t>
  </si>
  <si>
    <t>test_SwLLR12_Start_to_EV_positive</t>
  </si>
  <si>
    <t>95-101</t>
  </si>
  <si>
    <t>TC_PE_017</t>
  </si>
  <si>
    <t>test_SwLLR12_Start_EV_blocked_by_wEng</t>
  </si>
  <si>
    <t>TC_PE_018</t>
  </si>
  <si>
    <t>test_SwLLR12_Start_EV_blocked_by_P_dem_over_HYB_OUT</t>
  </si>
  <si>
    <t>TC_PE_019</t>
  </si>
  <si>
    <t>test_SwLLR12_Start_EV_blocked_by_P_dem_under_STOP_LOW</t>
  </si>
  <si>
    <t>TC_PE_020</t>
  </si>
  <si>
    <t>test_SwLLR12_Start_EV_blocked_by_speed_not_over_SPEED_STOP</t>
  </si>
  <si>
    <t>TC_PE_021</t>
  </si>
  <si>
    <t>test_SwLLR12_Start_EV_blocked_by_speed_over_SPEED_EV_MAX</t>
  </si>
  <si>
    <t>TC_PE_022</t>
  </si>
  <si>
    <t>test_SwLLR12_Start_EV_blocked_by_SOC_under_SOC_EV_IN</t>
  </si>
  <si>
    <t>SwLLR13</t>
  </si>
  <si>
    <t>TC_PE_023</t>
  </si>
  <si>
    <t>test_SwLLR13_ICE_to_EV_positive</t>
  </si>
  <si>
    <t>TC_PE_024</t>
  </si>
  <si>
    <t>test_SwLLR13_ICE_EV_blocked_by_wEng</t>
  </si>
  <si>
    <t>TC_PE_025</t>
  </si>
  <si>
    <t>test_SwLLR13_ICE_EV_blocked_by_P_dem_over_HYB_OUT</t>
  </si>
  <si>
    <t>TC_PE_026</t>
  </si>
  <si>
    <t>test_SwLLR13_ICE_EV_blocked_by_P_dem_under_STOP_LOW</t>
  </si>
  <si>
    <t>TC_PE_027</t>
  </si>
  <si>
    <t>test_SwLLR13_ICE_EV_blocked_by_speed_not_over_SPEED_STOP</t>
  </si>
  <si>
    <t>TC_PE_028</t>
  </si>
  <si>
    <t>test_SwLLR13_ICE_EV_blocked_by_speed_over_SPEED_EV_MAX</t>
  </si>
  <si>
    <t>TC_PE_029</t>
  </si>
  <si>
    <t>test_SwLLR13_ICE_EV_blocked_by_SOC_under_SOC_EV_IN</t>
  </si>
  <si>
    <t>SwLLR14</t>
  </si>
  <si>
    <t>TC_PE_030</t>
  </si>
  <si>
    <t>test_SwLLR14_Hybrid_to_EV_positive</t>
  </si>
  <si>
    <t>TC_PE_031</t>
  </si>
  <si>
    <t>test_SwLLR14_Hybrid_EV_blocked_by_wEng</t>
  </si>
  <si>
    <t>TC_PE_032</t>
  </si>
  <si>
    <t>test_SwLLR14_Hybrid_EV_blocked_by_P_dem_over_HYB_OUT</t>
  </si>
  <si>
    <t>TC_PE_033</t>
  </si>
  <si>
    <t>test_SwLLR14_Hybrid_EV_blocked_by_P_dem_under_STOP_LOW</t>
  </si>
  <si>
    <t>TC_PE_034</t>
  </si>
  <si>
    <t>test_SwLLR14_Hybrid_EV_blocked_by_speed_not_over_SPEED_STOP</t>
  </si>
  <si>
    <t>TC_PE_035</t>
  </si>
  <si>
    <t>test_SwLLR14_Hybrid_EV_blocked_by_speed_over_SPEED_EV_MAX</t>
  </si>
  <si>
    <t>TC_PE_036</t>
  </si>
  <si>
    <t>test_SwLLR14_Hybrid_EV_blocked_by_SOC_under_SOC_EV_IN</t>
  </si>
  <si>
    <t>SwLLR15</t>
  </si>
  <si>
    <t>TC_PE_037</t>
  </si>
  <si>
    <t>test_SwLLR15_Start_to_StandStill_positive</t>
  </si>
  <si>
    <t>102-105</t>
  </si>
  <si>
    <t>TC_PE_038</t>
  </si>
  <si>
    <t>test_SwLLR15_Start_StandStill_blocked_by_speed_over_SPEED_STOP</t>
  </si>
  <si>
    <t>TC_PE_039</t>
  </si>
  <si>
    <t>test_SwLLR15_Start_StandStill_blocked_by_P_dem_over_STOP_HIGH</t>
  </si>
  <si>
    <t>TC_PE_040</t>
  </si>
  <si>
    <t>test_SwLLR15_Start_StandStill_blocked_by_P_dem_under_STOP_LOW</t>
  </si>
  <si>
    <t>SwLLR16</t>
  </si>
  <si>
    <t>TC_PE_041</t>
  </si>
  <si>
    <t>test_SwLLR16_ICE_to_StandStill_positive</t>
  </si>
  <si>
    <t>TC_PE_042</t>
  </si>
  <si>
    <t>test_SwLLR16_ICE_StandStill_blocked_by_speed_over_SPEED_STOP</t>
  </si>
  <si>
    <t>TC_PE_043</t>
  </si>
  <si>
    <t>test_SwLLR16_ICE_StandStill_blocked_by_P_dem_over_STOP_HIGH</t>
  </si>
  <si>
    <t>TC_PE_044</t>
  </si>
  <si>
    <t>test_SwLLR16_ICE_StandStill_blocked_by_P_dem_under_STOP_LOW</t>
  </si>
  <si>
    <t>SwLLR17</t>
  </si>
  <si>
    <t>TC_PE_045</t>
  </si>
  <si>
    <t>test_SwLLR17_Hybrid_to_StandStill_positive</t>
  </si>
  <si>
    <t>TC_PE_046</t>
  </si>
  <si>
    <t>test_SwLLR17_Hybrid_StandStill_blocked_by_speed_over_SPEED_STOP</t>
  </si>
  <si>
    <t>TC_PE_047</t>
  </si>
  <si>
    <t>test_SwLLR17_Hybrid_StandStill_blocked_by_P_dem_over_STOP_HIGH</t>
  </si>
  <si>
    <t>TC_PE_048</t>
  </si>
  <si>
    <t>test_SwLLR17_Hybrid_StandStill_blocked_by_P_dem_under_STOP_LOW</t>
  </si>
  <si>
    <t>SwLLR21</t>
  </si>
  <si>
    <t>TC_PE_049</t>
  </si>
  <si>
    <t>test_SwLLR21_ICE_to_Hybrid_positive</t>
  </si>
  <si>
    <t>handle_ice</t>
  </si>
  <si>
    <t>163-166</t>
  </si>
  <si>
    <t>TC_PE_050</t>
  </si>
  <si>
    <t>test_SwLLR21_ICE_Hybrid_blocked_by_P_dem_under_HYB_MID</t>
  </si>
  <si>
    <t>TC_PE_051</t>
  </si>
  <si>
    <t>test_SwLLR21_ICE_Hybrid_blocked_by_SOC_under_SOC_MID</t>
  </si>
  <si>
    <t>SwLLR23</t>
  </si>
  <si>
    <t>TC_PE_052</t>
  </si>
  <si>
    <t>test_SwLLR23_Hybrid_to_ICE_positive_low_P_dem</t>
  </si>
  <si>
    <t>handle_hybrid</t>
  </si>
  <si>
    <t>187-190</t>
  </si>
  <si>
    <t>TC_PE_053</t>
  </si>
  <si>
    <t>test_SwLLR23_Hybrid_to_ICE_positive_low_SOC</t>
  </si>
  <si>
    <t>TC_PE_054</t>
  </si>
  <si>
    <t>test_SwLLR23_Hybrid_stays_when_both_conditions_false</t>
  </si>
  <si>
    <t>SwHLR06</t>
  </si>
  <si>
    <t>TC_PE_055</t>
  </si>
  <si>
    <t>test_SwHLR06_ICE_external_EV_beats_internal_Hybrid</t>
  </si>
  <si>
    <t>motion_ice_common_exit; handle_start; handle_ice; handle_hybrid</t>
  </si>
  <si>
    <t>87-110, 126-148, 152-172, 176-196</t>
  </si>
  <si>
    <t>TC_PE_056</t>
  </si>
  <si>
    <t>test_SwHLR06_Hybrid_external_EV_beats_internal_ICE</t>
  </si>
  <si>
    <t>TC_PE_057</t>
  </si>
  <si>
    <t>test_SwHLR06_Start_external_Regen_beats_internal_Hybrid</t>
  </si>
  <si>
    <t>TC_PE_058</t>
  </si>
  <si>
    <t>test_SwHLR06_Hybrid_external_StandStill_beats_internal_ICE</t>
  </si>
  <si>
    <t>SwHLR08</t>
  </si>
  <si>
    <t>TC_PE_059</t>
  </si>
  <si>
    <t>test_SwHLR08_ICE_reset_to_Start_beats_ICE_to_Hybrid</t>
  </si>
  <si>
    <t>internal_motion_ice_reset; handle_ice</t>
  </si>
  <si>
    <t>113-123, 152-172</t>
  </si>
  <si>
    <t>SwHLR09</t>
  </si>
  <si>
    <t>TC_PE_060</t>
  </si>
  <si>
    <t>test_SwHLR09_Hybrid_reset_to_Start_beats_Hybrid_to_ICE</t>
  </si>
  <si>
    <t>internal_motion_ice_reset; handle_hybrid</t>
  </si>
  <si>
    <t>113-123, 176-196</t>
  </si>
  <si>
    <t>TC_PE_061</t>
  </si>
  <si>
    <t>test_SwHLR06_Start_with_low_SOC_no_external_goes_to_internal</t>
  </si>
  <si>
    <t>SwHLR02</t>
  </si>
  <si>
    <t>TC_PE_062</t>
  </si>
  <si>
    <t>test_outputs_after_transition_to_RegenB</t>
  </si>
  <si>
    <t>write_outputs</t>
  </si>
  <si>
    <t>200-245</t>
  </si>
  <si>
    <t>TC_PE_063</t>
  </si>
  <si>
    <t>test_outputs_after_transition_to_EV</t>
  </si>
  <si>
    <t>TC_PE_064</t>
  </si>
  <si>
    <t>test_outputs_after_transition_to_StandStill</t>
  </si>
  <si>
    <t>TC_PE_065</t>
  </si>
  <si>
    <t>test_outputs_after_transition_to_Hybrid</t>
  </si>
  <si>
    <t>TC_PE_066</t>
  </si>
  <si>
    <t>test_outputs_after_transition_to_ICE</t>
  </si>
  <si>
    <t>TC_PE_067</t>
  </si>
  <si>
    <t>test_boundary_wEng_equal_ENG_ON_blocks_Regen</t>
  </si>
  <si>
    <t>TC_PE_068</t>
  </si>
  <si>
    <t>test_boundary_speed_equal_SPEED_REGEN_blocks_Regen</t>
  </si>
  <si>
    <t>TC_PE_069</t>
  </si>
  <si>
    <t>test_boundary_P_dem_equal_PDEM_REGEN_allows_Regen</t>
  </si>
  <si>
    <t>TC_PE_070</t>
  </si>
  <si>
    <t>test_boundary_speed_equal_SPEED_EV_MAX_allows_EV</t>
  </si>
  <si>
    <t>TC_PE_071</t>
  </si>
  <si>
    <t>test_boundary_speed_equal_SPEED_STOP_allows_StandStill</t>
  </si>
  <si>
    <t>TC_PE_072</t>
  </si>
  <si>
    <t>test_boundary_P_dem_equal_STOP_LOW_allows_StandStill</t>
  </si>
  <si>
    <t>TC_PE_073</t>
  </si>
  <si>
    <t>test_boundary_SOC_equal_SOC_EV_IN_allows_EV</t>
  </si>
  <si>
    <t>TC_PE_074</t>
  </si>
  <si>
    <t>test_boundary_P_dem_equal_HYB_MID_allows_ICE_to_Hybrid</t>
  </si>
  <si>
    <t>TC_PE_075</t>
  </si>
  <si>
    <t>test_boundary_P_dem_equal_HYB_LOW_allows_Hybrid_to_ICE</t>
  </si>
  <si>
    <t>TC_PE_076</t>
  </si>
  <si>
    <t>test_boundary_SOC_equal_SOC_LOW_blocks_Hybrid_to_ICE_via_SOC</t>
  </si>
  <si>
    <t>TC_SH_001</t>
  </si>
  <si>
    <t>test_SwHLR01_init_sets_current_mode_to_standstill</t>
  </si>
  <si>
    <t>tests/shared_tests/test_shared_requirements.c</t>
  </si>
  <si>
    <t>TC_SH_002</t>
  </si>
  <si>
    <t>test_SwHLR01_init_is_idempotent</t>
  </si>
  <si>
    <t>TC_SH_003</t>
  </si>
  <si>
    <t>test_SwHLR02_standstill_outputs_000</t>
  </si>
  <si>
    <t>SysHLR02</t>
  </si>
  <si>
    <t>TC_SH_004</t>
  </si>
  <si>
    <t>TC_SH_005</t>
  </si>
  <si>
    <t>test_SwHLR02_EV_outputs_100</t>
  </si>
  <si>
    <t>TC_SH_006</t>
  </si>
  <si>
    <t>TC_SH_007</t>
  </si>
  <si>
    <t>test_SwHLR02_RegenB_outputs_100</t>
  </si>
  <si>
    <t>TC_SH_008</t>
  </si>
  <si>
    <t>TC_SH_009</t>
  </si>
  <si>
    <t>test_SwHLR02_Start_outputs_110</t>
  </si>
  <si>
    <t>TC_SH_010</t>
  </si>
  <si>
    <t>TC_SH_011</t>
  </si>
  <si>
    <t>test_SwHLR02_ICE_outputs_011</t>
  </si>
  <si>
    <t>TC_SH_012</t>
  </si>
  <si>
    <t>TC_SH_013</t>
  </si>
  <si>
    <t>test_SwHLR02_Hybrid_outputs_111</t>
  </si>
  <si>
    <t>TC_SH_014</t>
  </si>
  <si>
    <t>TC_SH_015</t>
  </si>
  <si>
    <t>test_SwHLR10_init_null_state_does_not_crash</t>
  </si>
  <si>
    <t>TC_SH_016</t>
  </si>
  <si>
    <t>test_SwHLR10_step_null_state_does_not_crash</t>
  </si>
  <si>
    <t>TC_SH_017</t>
  </si>
  <si>
    <t>test_SwHLR10_step_null_inputs_does_not_crash</t>
  </si>
  <si>
    <t>TC_SH_018</t>
  </si>
  <si>
    <t>test_SwHLR10_step_null_outputs_does_not_crash</t>
  </si>
  <si>
    <t>TC_SH_019</t>
  </si>
  <si>
    <t>test_SwHLR10_invalid_mode_value_recovers_to_standstill</t>
  </si>
  <si>
    <t>SysHLR01</t>
  </si>
  <si>
    <t>TC_SH_020</t>
  </si>
  <si>
    <t>test_SysHLR01_every_step_leaves_valid_mode</t>
  </si>
  <si>
    <t>ModeLogic_Step</t>
  </si>
  <si>
    <t>255-296</t>
  </si>
  <si>
    <t>SysHLR03</t>
  </si>
  <si>
    <t>TC_SH_021</t>
  </si>
  <si>
    <t>test_SysHLR03_SOC_EV_hysteresis_window_is_positive</t>
  </si>
  <si>
    <t>calibrations and ordering checks</t>
  </si>
  <si>
    <t>inc/mode_logic_team.h</t>
  </si>
  <si>
    <t>26-41</t>
  </si>
  <si>
    <t>TC_SH_022</t>
  </si>
  <si>
    <t>test_SysHLR03_ENG_hysteresis_window_is_positive</t>
  </si>
  <si>
    <t>TC_SH_023</t>
  </si>
  <si>
    <t>test_SysHLR03_PDEM_STOP_window_is_coherent</t>
  </si>
  <si>
    <t>TC_SH_024</t>
  </si>
  <si>
    <t>test_SysHLR03_PDEM_HYB_ordering</t>
  </si>
  <si>
    <t>TC_SH_025</t>
  </si>
  <si>
    <t>test_SysHLR03_SOC_ordering</t>
  </si>
  <si>
    <t>TC_SH_026</t>
  </si>
  <si>
    <t>test_SysHLR03_SPEED_ordering</t>
  </si>
  <si>
    <t>NfHLR02</t>
  </si>
  <si>
    <t>TC_SH_027</t>
  </si>
  <si>
    <t>test_NfHLR02_SOC_EV_hysteresis_cycle</t>
  </si>
  <si>
    <t>SOC/ENG hysteresis guards</t>
  </si>
  <si>
    <t>12-20, 40-42, 117-118</t>
  </si>
  <si>
    <t>TC_SH_028</t>
  </si>
  <si>
    <t>test_NfHLR02_ENG_hysteresis_cycle</t>
  </si>
  <si>
    <t>NfHLR04</t>
  </si>
  <si>
    <t>TC_SH_029</t>
  </si>
  <si>
    <t>test_NfHLR04_same_sequence_produces_same_outputs</t>
  </si>
  <si>
    <t>Functional Tests - VMU Mode Logic</t>
  </si>
  <si>
    <t>Project</t>
  </si>
  <si>
    <t>HEV Power-Split Mode Logic (HEV_powersplit_adapted)</t>
  </si>
  <si>
    <t>Source under test</t>
  </si>
  <si>
    <t>Header</t>
  </si>
  <si>
    <t>Requirements</t>
  </si>
  <si>
    <t>doc/Requisitos_preview.pdf (Sections 4 and 5)</t>
  </si>
  <si>
    <t>Test file</t>
  </si>
  <si>
    <t>tests/Person_E_Gustavo/test_person_e.c; tests/shared_tests/test_shared_requirements.c</t>
  </si>
  <si>
    <t>Deliverable</t>
  </si>
  <si>
    <t>4/4 Tests - Functional testing: Excel sheet with basic functional test cases and evidence of coverage for all requirement IDs</t>
  </si>
  <si>
    <t>Version</t>
  </si>
  <si>
    <t>0.5</t>
  </si>
  <si>
    <t>Date</t>
  </si>
  <si>
    <t>2026-04-24</t>
  </si>
  <si>
    <t>Responsible team</t>
  </si>
  <si>
    <t>Person A, Person B, Person C, Person D, Person E; shared requirements</t>
  </si>
  <si>
    <t>Sheet layout</t>
  </si>
  <si>
    <t>Catalog of 40 requirements (SysHLR, SwHLR, SwLLR, NfHLR) with coverage/status auto-fields.</t>
  </si>
  <si>
    <t>Test Cases</t>
  </si>
  <si>
    <t>One row per test case: TC ID and Req ID in separate columns, code references, inputs, expected outputs.</t>
  </si>
  <si>
    <t>Traceability Matrix</t>
  </si>
  <si>
    <t>AUTOSAR-style: one row per (Req, TC) pair with Code Element / File / Line Number.</t>
  </si>
  <si>
    <t>Test Execution</t>
  </si>
  <si>
    <t>One row per TC with lookup of expected values; Status is auto-computed by comparing expected vs actual (mode + Mot/Gen/ICE).</t>
  </si>
  <si>
    <t>Coverage Summary</t>
  </si>
  <si>
    <t>KPIs: coverage by req type, total/pass/fail/not-executed counters, pass-rate.</t>
  </si>
  <si>
    <t>Status Legend</t>
  </si>
  <si>
    <t>PASS</t>
  </si>
  <si>
    <t>Actual mode AND all three enables match expected.</t>
  </si>
  <si>
    <t>FAIL</t>
  </si>
  <si>
    <t>At least one of {mode, Mot_Enable, Gen_Enable, ICE_Enable} differs.</t>
  </si>
  <si>
    <t>NOT EXECUTED</t>
  </si>
  <si>
    <t>Test authored but not yet run (all actual fields empty).</t>
  </si>
  <si>
    <t>N/A</t>
  </si>
  <si>
    <t>Not verifiable via dynamic functional test (e.g., static property).</t>
  </si>
  <si>
    <t>BLOCKED</t>
  </si>
  <si>
    <t>Test cannot be executed because of an external blocker.</t>
  </si>
  <si>
    <t>Type</t>
  </si>
  <si>
    <t>Title</t>
  </si>
  <si>
    <t>Description</t>
  </si>
  <si>
    <t>Derived From</t>
  </si>
  <si>
    <t>Owner</t>
  </si>
  <si>
    <t>Covered?</t>
  </si>
  <si>
    <t># Test Cases</t>
  </si>
  <si>
    <t>Status</t>
  </si>
  <si>
    <t>System HLR</t>
  </si>
  <si>
    <t>Power-Split Supervisory Mode Selection</t>
  </si>
  <si>
    <t>VMU selects exactly one operating mode from {Standstill, EV, RegenB, Start, ICE, Hybrid} each cycle, evaluating speed, P_dem, SOC, wEng.</t>
  </si>
  <si>
    <t>-</t>
  </si>
  <si>
    <t>Shared requirements</t>
  </si>
  <si>
    <t>Deterministic Powertrain Enable Coordination</t>
  </si>
  <si>
    <t>For each selected mode, VMU commands deterministic Mot/Gen/ICE enable per mapping: Standstill{0,0,0}, EV{1,0,0}, RegenB{1,0,0}, Start{1,1,0}, ICE{0,1,1}, Hybrid{1,1,1}.</t>
  </si>
  <si>
    <t>Calibratable and Hysteretic Transition Strategy</t>
  </si>
  <si>
    <t>Transitions use named calibrations (ENG_ON/OFF, SPEED_*, PDEM_*, SOC_*) preserving hysteresis on SOC and engine-speed thresholds.</t>
  </si>
  <si>
    <t>Software HLR</t>
  </si>
  <si>
    <t>Initialization Behavior</t>
  </si>
  <si>
    <t>Software initializes the active mode to Standstill before the first normal evaluation cycle.</t>
  </si>
  <si>
    <t>Deterministic Output Mapping by Active Mode</t>
  </si>
  <si>
    <t>Software commands enable outputs associated with the resolved active mode per the model mapping.</t>
  </si>
  <si>
    <t>SwHLR03</t>
  </si>
  <si>
    <t>Standstill Transition Family</t>
  </si>
  <si>
    <t>While in Standstill, evaluate exits to EV and Start in priority order.</t>
  </si>
  <si>
    <t>SysHLR01, SysHLR03</t>
  </si>
  <si>
    <t>Person A</t>
  </si>
  <si>
    <t>SwHLR04</t>
  </si>
  <si>
    <t>EV Transition Family</t>
  </si>
  <si>
    <t>While in EV, evaluate exits to RegenB, Start, Standstill in priority order.</t>
  </si>
  <si>
    <t>Person B</t>
  </si>
  <si>
    <t>SwHLR05</t>
  </si>
  <si>
    <t>Regenerative-Braking Transition Family</t>
  </si>
  <si>
    <t>While in RegenB, evaluate exits to Start, Standstill, EV in priority order.</t>
  </si>
  <si>
    <t>Person C</t>
  </si>
  <si>
    <t>Engine-Supported External Exit Family</t>
  </si>
  <si>
    <t>While in Start/ICE/Hybrid, evaluate external exits to RegenB, EV, Standstill before internal transitions.</t>
  </si>
  <si>
    <t>Person E</t>
  </si>
  <si>
    <t>SwHLR07</t>
  </si>
  <si>
    <t>Start Mode Internal Transition Family</t>
  </si>
  <si>
    <t>While in Start with no higher-priority external exit, evaluate internal transitions to Hybrid and ICE.</t>
  </si>
  <si>
    <t>Person D</t>
  </si>
  <si>
    <t>ICE Mode Internal Transition Family</t>
  </si>
  <si>
    <t>While in ICE with no higher-priority external exit, evaluate internal transitions to Start and Hybrid.</t>
  </si>
  <si>
    <t>Person D + Person E</t>
  </si>
  <si>
    <t>Hybrid Mode Internal Transition Family</t>
  </si>
  <si>
    <t>While in Hybrid with no higher-priority external exit, evaluate internal transitions to Start and ICE.</t>
  </si>
  <si>
    <t>Initialization and Invalid-Mode Recovery</t>
  </si>
  <si>
    <t>Init to Standstill and recovery from invalid active-mode value are software-defined behaviors outside the 23 modeled transitions.</t>
  </si>
  <si>
    <t>SwLLR01</t>
  </si>
  <si>
    <t>Software LLR</t>
  </si>
  <si>
    <t>Standstill -&gt; EV</t>
  </si>
  <si>
    <t>mode=Standstill AND speed&gt;SPEED_STOP AND speed&lt;=SPEED_EV_MAX AND SOC&gt;=SOC_EV_IN -&gt; EV.</t>
  </si>
  <si>
    <t>SwHLR02, SwHLR03</t>
  </si>
  <si>
    <t>SwLLR02</t>
  </si>
  <si>
    <t>Standstill -&gt; Start</t>
  </si>
  <si>
    <t>mode=Standstill AND speed&gt;SPEED_STOP AND (speed&gt;SPEED_EV_MAX OR SOC&lt;SOC_EV_IN) -&gt; Start.</t>
  </si>
  <si>
    <t>SwLLR03</t>
  </si>
  <si>
    <t>EV -&gt; RegenB</t>
  </si>
  <si>
    <t>mode=EV AND speed&gt;SPEED_REGEN AND P_dem&lt;=PDEM_REGEN -&gt; RegenB.</t>
  </si>
  <si>
    <t>SwHLR02, SwHLR04</t>
  </si>
  <si>
    <t>SwLLR04</t>
  </si>
  <si>
    <t>EV -&gt; Start</t>
  </si>
  <si>
    <t>mode=EV AND (speed&gt;SPEED_EV_MAX OR P_dem&gt;=PDEM_HYB_IN OR SOC&lt;SOC_EV_OUT) -&gt; Start.</t>
  </si>
  <si>
    <t>SwLLR05</t>
  </si>
  <si>
    <t>EV -&gt; Standstill</t>
  </si>
  <si>
    <t>mode=EV AND speed&lt;=SPEED_STOP AND PDEM_STOP_LOW&lt;=P_dem&lt;=PDEM_STOP_HIGH -&gt; Standstill.</t>
  </si>
  <si>
    <t>SwLLR06</t>
  </si>
  <si>
    <t>RegenB -&gt; Start</t>
  </si>
  <si>
    <t>mode=RegenB AND (((speed&gt;SPEED_EV_MAX) AND (P_dem&gt;=PDEM_STOP_LOW)) OR SOC&lt;SOC_EV_OUT) -&gt; Start.</t>
  </si>
  <si>
    <t>SwHLR02, SwHLR05</t>
  </si>
  <si>
    <t>SwLLR07</t>
  </si>
  <si>
    <t>RegenB -&gt; Standstill</t>
  </si>
  <si>
    <t>mode=RegenB AND speed&lt;=SPEED_STOP AND PDEM_STOP_LOW&lt;=P_dem&lt;=PDEM_STOP_HIGH -&gt; Standstill.</t>
  </si>
  <si>
    <t>SwLLR08</t>
  </si>
  <si>
    <t>RegenB -&gt; EV</t>
  </si>
  <si>
    <t>mode=RegenB AND P_dem&gt;=PDEM_STOP_LOW AND speed&gt;SPEED_STOP AND speed&lt;=SPEED_EV_MAX AND SOC&gt;=SOC_EV_OUT -&gt; EV.</t>
  </si>
  <si>
    <t>Start -&gt; RegenB</t>
  </si>
  <si>
    <t>mode=Start AND wEng&gt;ENG_ON AND speed&gt;SPEED_REGEN AND P_dem&lt;=PDEM_REGEN -&gt; RegenB.</t>
  </si>
  <si>
    <t>SwHLR02, SwHLR06</t>
  </si>
  <si>
    <t>ICE -&gt; RegenB</t>
  </si>
  <si>
    <t>mode=ICE AND wEng&gt;ENG_ON AND speed&gt;SPEED_REGEN AND P_dem&lt;=PDEM_REGEN -&gt; RegenB.</t>
  </si>
  <si>
    <t>Hybrid -&gt; RegenB</t>
  </si>
  <si>
    <t>mode=Hybrid AND wEng&gt;ENG_ON AND speed&gt;SPEED_REGEN AND P_dem&lt;=PDEM_REGEN -&gt; RegenB.</t>
  </si>
  <si>
    <t>Start -&gt; EV</t>
  </si>
  <si>
    <t>mode=Start AND wEng&gt;ENG_ON AND PDEM_STOP_LOW&lt;=P_dem&lt;=PDEM_HYB_OUT AND SPEED_STOP&lt;speed&lt;=SPEED_EV_MAX AND SOC&gt;=SOC_EV_IN -&gt; EV.</t>
  </si>
  <si>
    <t>ICE -&gt; EV</t>
  </si>
  <si>
    <t>mode=ICE AND wEng&gt;ENG_ON AND PDEM_STOP_LOW&lt;=P_dem&lt;=PDEM_HYB_OUT AND SPEED_STOP&lt;speed&lt;=SPEED_EV_MAX AND SOC&gt;=SOC_EV_IN -&gt; EV.</t>
  </si>
  <si>
    <t>Hybrid -&gt; EV</t>
  </si>
  <si>
    <t>mode=Hybrid AND wEng&gt;ENG_ON AND PDEM_STOP_LOW&lt;=P_dem&lt;=PDEM_HYB_OUT AND SPEED_STOP&lt;speed&lt;=SPEED_EV_MAX AND SOC&gt;=SOC_EV_IN -&gt; EV.</t>
  </si>
  <si>
    <t>Start -&gt; Standstill</t>
  </si>
  <si>
    <t>mode=Start AND speed&lt;=SPEED_STOP AND PDEM_STOP_LOW&lt;=P_dem&lt;=PDEM_STOP_HIGH -&gt; Standstill.</t>
  </si>
  <si>
    <t>ICE -&gt; Standstill</t>
  </si>
  <si>
    <t>mode=ICE AND speed&lt;=SPEED_STOP AND PDEM_STOP_LOW&lt;=P_dem&lt;=PDEM_STOP_HIGH -&gt; Standstill.</t>
  </si>
  <si>
    <t>Hybrid -&gt; Standstill</t>
  </si>
  <si>
    <t>mode=Hybrid AND speed&lt;=SPEED_STOP AND PDEM_STOP_LOW&lt;=P_dem&lt;=PDEM_STOP_HIGH -&gt; Standstill.</t>
  </si>
  <si>
    <t>SwLLR18</t>
  </si>
  <si>
    <t>Start -&gt; Hybrid</t>
  </si>
  <si>
    <t>mode=Start AND wEng&gt;ENG_ON AND SOC&gt;=SOC_MID AND (speed&gt;SPEED_EV_MAX OR P_dem&gt;=PDEM_HYB_MID) -&gt; Hybrid.</t>
  </si>
  <si>
    <t>SwHLR02, SwHLR07</t>
  </si>
  <si>
    <t>SwLLR19</t>
  </si>
  <si>
    <t>Start -&gt; ICE</t>
  </si>
  <si>
    <t>mode=Start AND wEng&gt;ENG_ON AND (SOC&lt;SOC_MID OR (speed&lt;=SPEED_EV_MAX AND P_dem&lt;PDEM_HYB_MID)) -&gt; ICE.</t>
  </si>
  <si>
    <t>SwLLR20</t>
  </si>
  <si>
    <t>ICE -&gt; Start</t>
  </si>
  <si>
    <t>mode=ICE AND wEng&lt;=ENG_OFF -&gt; Start.</t>
  </si>
  <si>
    <t>SwHLR02, SwHLR08</t>
  </si>
  <si>
    <t>ICE -&gt; Hybrid</t>
  </si>
  <si>
    <t>mode=ICE AND P_dem&gt;=PDEM_HYB_MID AND SOC&gt;=SOC_MID -&gt; Hybrid.</t>
  </si>
  <si>
    <t>SwLLR22</t>
  </si>
  <si>
    <t>Hybrid -&gt; Start</t>
  </si>
  <si>
    <t>mode=Hybrid AND wEng&lt;=ENG_OFF -&gt; Start.</t>
  </si>
  <si>
    <t>SwHLR02, SwHLR09</t>
  </si>
  <si>
    <t>Hybrid -&gt; ICE</t>
  </si>
  <si>
    <t>mode=Hybrid AND (P_dem&lt;=PDEM_HYB_LOW OR SOC&lt;SOC_LOW) -&gt; ICE.</t>
  </si>
  <si>
    <t>NfHLR01</t>
  </si>
  <si>
    <t>Non-Functional</t>
  </si>
  <si>
    <t>Periodic Execution and Sample Time</t>
  </si>
  <si>
    <t>Software executes at 0.1 s fixed rate and resolves next mode within the same sample period.</t>
  </si>
  <si>
    <t>Transition Stability and Hysteresis Preservation</t>
  </si>
  <si>
    <t>Preserve hysteresis at SOC (SOC_EV_IN/OUT) and engine-speed (ENG_ON/OFF) boundaries.</t>
  </si>
  <si>
    <t>NfHLR03</t>
  </si>
  <si>
    <t>Static Allocation and Bounded State Storage</t>
  </si>
  <si>
    <t>Use fixed-size pre-allocated storage (no dynamic alloc / recursion / VLA).</t>
  </si>
  <si>
    <t>Deterministic Outputs and Reproducibility</t>
  </si>
  <si>
    <t>Same initial mode + same inputs -&gt; same output sequence across repeated runs.</t>
  </si>
  <si>
    <t>Code File</t>
  </si>
  <si>
    <t>Code Lines</t>
  </si>
  <si>
    <t>Test Definition Line</t>
  </si>
  <si>
    <t>Unity Run Line</t>
  </si>
  <si>
    <t>Expected / Assertion</t>
  </si>
  <si>
    <t>Expected Result</t>
  </si>
  <si>
    <t>Description / Rationale</t>
  </si>
  <si>
    <t>Suite</t>
  </si>
  <si>
    <t>Requirement Source</t>
  </si>
  <si>
    <t>Execution Date</t>
  </si>
  <si>
    <t>Actual Result</t>
  </si>
  <si>
    <t>Evidence / Notes</t>
  </si>
  <si>
    <t>Unity assertions in the test function must pass.</t>
  </si>
  <si>
    <t>Specific Unity test for SwHLR01.</t>
  </si>
  <si>
    <t>doc/mapeamento_transicoes_secao4_por_responsavel.md</t>
  </si>
  <si>
    <t>test_person_e.c:790:test_ModeLogic_Init_sets_standstill:PASS</t>
  </si>
  <si>
    <t>Assertion expects NULL argument handling without state/output corruption.</t>
  </si>
  <si>
    <t>Specific Unity test for SwHLR10.</t>
  </si>
  <si>
    <t>test_person_e.c:791:test_ModeLogic_Init_tolerates_null:PASS</t>
  </si>
  <si>
    <t>test_person_e.c:792:test_ModeLogic_Step_tolerates_null_args:PASS</t>
  </si>
  <si>
    <t>Assertion expects transition/result for MODE_REGENB.</t>
  </si>
  <si>
    <t>Specific Unity test for SwLLR09.</t>
  </si>
  <si>
    <t>test_person_e.c:795:test_SwLLR09_Start_to_RegenB_positive:PASS</t>
  </si>
  <si>
    <t>Assertion expects guard to block the transition.</t>
  </si>
  <si>
    <t>test_person_e.c:796:test_SwLLR09_Start_blocked_by_wEng_not_over_ENG_ON:PASS</t>
  </si>
  <si>
    <t>test_person_e.c:797:test_SwLLR09_Start_blocked_by_speed_not_over_SPEED_REGEN:PASS</t>
  </si>
  <si>
    <t>test_person_e.c:798:test_SwLLR09_Start_blocked_by_P_dem_not_under_PDEM_REGEN:PASS</t>
  </si>
  <si>
    <t>Specific Unity test for SwLLR10.</t>
  </si>
  <si>
    <t>test_person_e.c:801:test_SwLLR10_ICE_to_RegenB_positive:PASS</t>
  </si>
  <si>
    <t>test_person_e.c:802:test_SwLLR10_ICE_blocked_by_wEng:PASS</t>
  </si>
  <si>
    <t>test_person_e.c:803:test_SwLLR10_ICE_blocked_by_speed:PASS</t>
  </si>
  <si>
    <t>test_person_e.c:804:test_SwLLR10_ICE_blocked_by_P_dem:PASS</t>
  </si>
  <si>
    <t>Specific Unity test for SwLLR11.</t>
  </si>
  <si>
    <t>test_person_e.c:807:test_SwLLR11_Hybrid_to_RegenB_positive:PASS</t>
  </si>
  <si>
    <t>test_person_e.c:808:test_SwLLR11_Hybrid_blocked_by_wEng:PASS</t>
  </si>
  <si>
    <t>test_person_e.c:809:test_SwLLR11_Hybrid_blocked_by_speed:PASS</t>
  </si>
  <si>
    <t>test_person_e.c:810:test_SwLLR11_Hybrid_blocked_by_P_dem:PASS</t>
  </si>
  <si>
    <t>Assertion expects transition/result for MODE_EV.</t>
  </si>
  <si>
    <t>Specific Unity test for SwLLR12.</t>
  </si>
  <si>
    <t>test_person_e.c:813:test_SwLLR12_Start_to_EV_positive:PASS</t>
  </si>
  <si>
    <t>test_person_e.c:814:test_SwLLR12_Start_EV_blocked_by_wEng:PASS</t>
  </si>
  <si>
    <t>test_person_e.c:815:test_SwLLR12_Start_EV_blocked_by_P_dem_over_HYB_OUT:PASS</t>
  </si>
  <si>
    <t>test_person_e.c:816:test_SwLLR12_Start_EV_blocked_by_P_dem_under_STOP_LOW:PASS</t>
  </si>
  <si>
    <t>test_person_e.c:817:test_SwLLR12_Start_EV_blocked_by_speed_not_over_SPEED_STOP:PASS</t>
  </si>
  <si>
    <t>test_person_e.c:818:test_SwLLR12_Start_EV_blocked_by_speed_over_SPEED_EV_MAX:PASS</t>
  </si>
  <si>
    <t>test_person_e.c:819:test_SwLLR12_Start_EV_blocked_by_SOC_under_SOC_EV_IN:PASS</t>
  </si>
  <si>
    <t>Specific Unity test for SwLLR13.</t>
  </si>
  <si>
    <t>test_person_e.c:822:test_SwLLR13_ICE_to_EV_positive:PASS</t>
  </si>
  <si>
    <t>test_person_e.c:823:test_SwLLR13_ICE_EV_blocked_by_wEng:PASS</t>
  </si>
  <si>
    <t>test_person_e.c:824:test_SwLLR13_ICE_EV_blocked_by_P_dem_over_HYB_OUT:PASS</t>
  </si>
  <si>
    <t>test_person_e.c:825:test_SwLLR13_ICE_EV_blocked_by_P_dem_under_STOP_LOW:PASS</t>
  </si>
  <si>
    <t>test_person_e.c:826:test_SwLLR13_ICE_EV_blocked_by_speed_not_over_SPEED_STOP:PASS</t>
  </si>
  <si>
    <t>test_person_e.c:827:test_SwLLR13_ICE_EV_blocked_by_speed_over_SPEED_EV_MAX:PASS</t>
  </si>
  <si>
    <t>test_person_e.c:828:test_SwLLR13_ICE_EV_blocked_by_SOC_under_SOC_EV_IN:PASS</t>
  </si>
  <si>
    <t>Specific Unity test for SwLLR14.</t>
  </si>
  <si>
    <t>test_person_e.c:831:test_SwLLR14_Hybrid_to_EV_positive:PASS</t>
  </si>
  <si>
    <t>test_person_e.c:832:test_SwLLR14_Hybrid_EV_blocked_by_wEng:PASS</t>
  </si>
  <si>
    <t>test_person_e.c:833:test_SwLLR14_Hybrid_EV_blocked_by_P_dem_over_HYB_OUT:PASS</t>
  </si>
  <si>
    <t>test_person_e.c:834:test_SwLLR14_Hybrid_EV_blocked_by_P_dem_under_STOP_LOW:PASS</t>
  </si>
  <si>
    <t>test_person_e.c:835:test_SwLLR14_Hybrid_EV_blocked_by_speed_not_over_SPEED_STOP:PASS</t>
  </si>
  <si>
    <t>test_person_e.c:836:test_SwLLR14_Hybrid_EV_blocked_by_speed_over_SPEED_EV_MAX:PASS</t>
  </si>
  <si>
    <t>test_person_e.c:837:test_SwLLR14_Hybrid_EV_blocked_by_SOC_under_SOC_EV_IN:PASS</t>
  </si>
  <si>
    <t>Assertion expects transition/result for MODE_STANDSTILL.</t>
  </si>
  <si>
    <t>Specific Unity test for SwLLR15.</t>
  </si>
  <si>
    <t>test_person_e.c:840:test_SwLLR15_Start_to_StandStill_positive:PASS</t>
  </si>
  <si>
    <t>test_person_e.c:841:test_SwLLR15_Start_StandStill_blocked_by_speed_over_SPEED_STOP:PASS</t>
  </si>
  <si>
    <t>test_person_e.c:842:test_SwLLR15_Start_StandStill_blocked_by_P_dem_over_STOP_HIGH:PASS</t>
  </si>
  <si>
    <t>test_person_e.c:843:test_SwLLR15_Start_StandStill_blocked_by_P_dem_under_STOP_LOW:PASS</t>
  </si>
  <si>
    <t>Specific Unity test for SwLLR16.</t>
  </si>
  <si>
    <t>test_person_e.c:846:test_SwLLR16_ICE_to_StandStill_positive:PASS</t>
  </si>
  <si>
    <t>test_person_e.c:847:test_SwLLR16_ICE_StandStill_blocked_by_speed_over_SPEED_STOP:PASS</t>
  </si>
  <si>
    <t>test_person_e.c:848:test_SwLLR16_ICE_StandStill_blocked_by_P_dem_over_STOP_HIGH:PASS</t>
  </si>
  <si>
    <t>test_person_e.c:849:test_SwLLR16_ICE_StandStill_blocked_by_P_dem_under_STOP_LOW:PASS</t>
  </si>
  <si>
    <t>Specific Unity test for SwLLR17.</t>
  </si>
  <si>
    <t>test_person_e.c:852:test_SwLLR17_Hybrid_to_StandStill_positive:PASS</t>
  </si>
  <si>
    <t>test_person_e.c:853:test_SwLLR17_Hybrid_StandStill_blocked_by_speed_over_SPEED_STOP:PASS</t>
  </si>
  <si>
    <t>test_person_e.c:854:test_SwLLR17_Hybrid_StandStill_blocked_by_P_dem_over_STOP_HIGH:PASS</t>
  </si>
  <si>
    <t>test_person_e.c:855:test_SwLLR17_Hybrid_StandStill_blocked_by_P_dem_under_STOP_LOW:PASS</t>
  </si>
  <si>
    <t>Assertion expects transition/result for MODE_HYBRID.</t>
  </si>
  <si>
    <t>Specific Unity test for SwLLR21.</t>
  </si>
  <si>
    <t>test_person_e.c:858:test_SwLLR21_ICE_to_Hybrid_positive:PASS</t>
  </si>
  <si>
    <t>test_person_e.c:859:test_SwLLR21_ICE_Hybrid_blocked_by_P_dem_under_HYB_MID:PASS</t>
  </si>
  <si>
    <t>test_person_e.c:860:test_SwLLR21_ICE_Hybrid_blocked_by_SOC_under_SOC_MID:PASS</t>
  </si>
  <si>
    <t>Assertion expects transition/result for MODE_ICE.</t>
  </si>
  <si>
    <t>Specific Unity test for SwLLR23.</t>
  </si>
  <si>
    <t>test_person_e.c:863:test_SwLLR23_Hybrid_to_ICE_positive_low_P_dem:PASS</t>
  </si>
  <si>
    <t>test_person_e.c:864:test_SwLLR23_Hybrid_to_ICE_positive_low_SOC:PASS</t>
  </si>
  <si>
    <t>test_person_e.c:865:test_SwLLR23_Hybrid_stays_when_both_conditions_false:PASS</t>
  </si>
  <si>
    <t>Specific Unity test for SwHLR06.</t>
  </si>
  <si>
    <t>test_person_e.c:868:test_SwHLR06_ICE_external_EV_beats_internal_Hybrid:PASS</t>
  </si>
  <si>
    <t>test_person_e.c:869:test_SwHLR06_Hybrid_external_EV_beats_internal_ICE:PASS</t>
  </si>
  <si>
    <t>test_person_e.c:870:test_SwHLR06_Start_external_Regen_beats_internal_Hybrid:PASS</t>
  </si>
  <si>
    <t>test_person_e.c:871:test_SwHLR06_Hybrid_external_StandStill_beats_internal_ICE:PASS</t>
  </si>
  <si>
    <t>Specific Unity test for SwHLR08.</t>
  </si>
  <si>
    <t>test_person_e.c:872:test_SwHLR08_ICE_reset_to_Start_beats_ICE_to_Hybrid:PASS</t>
  </si>
  <si>
    <t>Specific Unity test for SwHLR09.</t>
  </si>
  <si>
    <t>test_person_e.c:873:test_SwHLR09_Hybrid_reset_to_Start_beats_Hybrid_to_ICE:PASS</t>
  </si>
  <si>
    <t>test_person_e.c:874:test_SwHLR06_Start_with_low_SOC_no_external_goes_to_internal:PASS</t>
  </si>
  <si>
    <t>Specific Unity test for SwHLR02.</t>
  </si>
  <si>
    <t>test_person_e.c:877:test_outputs_after_transition_to_RegenB:PASS</t>
  </si>
  <si>
    <t>test_person_e.c:878:test_outputs_after_transition_to_EV:PASS</t>
  </si>
  <si>
    <t>test_person_e.c:879:test_outputs_after_transition_to_StandStill:PASS</t>
  </si>
  <si>
    <t>test_person_e.c:880:test_outputs_after_transition_to_Hybrid:PASS</t>
  </si>
  <si>
    <t>test_person_e.c:881:test_outputs_after_transition_to_ICE:PASS</t>
  </si>
  <si>
    <t>test_person_e.c:884:test_boundary_wEng_equal_ENG_ON_blocks_Regen:PASS</t>
  </si>
  <si>
    <t>test_person_e.c:885:test_boundary_speed_equal_SPEED_REGEN_blocks_Regen:PASS</t>
  </si>
  <si>
    <t>test_person_e.c:886:test_boundary_P_dem_equal_PDEM_REGEN_allows_Regen:PASS</t>
  </si>
  <si>
    <t>test_person_e.c:887:test_boundary_speed_equal_SPEED_EV_MAX_allows_EV:PASS</t>
  </si>
  <si>
    <t>test_person_e.c:888:test_boundary_speed_equal_SPEED_STOP_allows_StandStill:PASS</t>
  </si>
  <si>
    <t>test_person_e.c:889:test_boundary_P_dem_equal_STOP_LOW_allows_StandStill:PASS</t>
  </si>
  <si>
    <t>test_person_e.c:890:test_boundary_SOC_equal_SOC_EV_IN_allows_EV:PASS</t>
  </si>
  <si>
    <t>test_person_e.c:891:test_boundary_P_dem_equal_HYB_MID_allows_ICE_to_Hybrid:PASS</t>
  </si>
  <si>
    <t>test_person_e.c:892:test_boundary_P_dem_equal_HYB_LOW_allows_Hybrid_to_ICE:PASS</t>
  </si>
  <si>
    <t>test_person_e.c:893:test_boundary_SOC_equal_SOC_LOW_blocks_Hybrid_to_ICE_via_SOC:PASS</t>
  </si>
  <si>
    <t>Assertion expects initialization behavior.</t>
  </si>
  <si>
    <t>test_shared_requirements.c:457:test_SwHLR01_init_sets_current_mode_to_standstill:PASS</t>
  </si>
  <si>
    <t>test_shared_requirements.c:458:test_SwHLR01_init_is_idempotent:PASS</t>
  </si>
  <si>
    <t>Assertion expects mode-specific Mot/Gen/ICE enable mapping.</t>
  </si>
  <si>
    <t>test_shared_requirements.c:461:test_SwHLR02_standstill_outputs_000:PASS</t>
  </si>
  <si>
    <t>Specific Unity test for SysHLR02.</t>
  </si>
  <si>
    <t>test_shared_requirements.c:462:test_SwHLR02_EV_outputs_100:PASS</t>
  </si>
  <si>
    <t>test_shared_requirements.c:463:test_SwHLR02_RegenB_outputs_100:PASS</t>
  </si>
  <si>
    <t>test_shared_requirements.c:464:test_SwHLR02_Start_outputs_110:PASS</t>
  </si>
  <si>
    <t>test_shared_requirements.c:465:test_SwHLR02_ICE_outputs_011:PASS</t>
  </si>
  <si>
    <t>test_shared_requirements.c:466:test_SwHLR02_Hybrid_outputs_111:PASS</t>
  </si>
  <si>
    <t>test_shared_requirements.c:469:test_SwHLR10_init_null_state_does_not_crash:PASS</t>
  </si>
  <si>
    <t>test_shared_requirements.c:470:test_SwHLR10_step_null_state_does_not_crash:PASS</t>
  </si>
  <si>
    <t>test_shared_requirements.c:471:test_SwHLR10_step_null_inputs_does_not_crash:PASS</t>
  </si>
  <si>
    <t>test_shared_requirements.c:472:test_SwHLR10_step_null_outputs_does_not_crash:PASS</t>
  </si>
  <si>
    <t>test_shared_requirements.c:473:test_SwHLR10_invalid_mode_value_recovers_to_standstill:PASS</t>
  </si>
  <si>
    <t>Assertion expects every step to leave a valid mode.</t>
  </si>
  <si>
    <t>Specific Unity test for SysHLR01.</t>
  </si>
  <si>
    <t>test_shared_requirements.c:476:test_SysHLR01_every_step_leaves_valid_mode:PASS</t>
  </si>
  <si>
    <t>Assertion expects hysteresis behavior to be preserved.</t>
  </si>
  <si>
    <t>Specific Unity test for SysHLR03.</t>
  </si>
  <si>
    <t>test_shared_requirements.c:479:test_SysHLR03_SOC_EV_hysteresis_window_is_positive:PASS</t>
  </si>
  <si>
    <t>test_shared_requirements.c:480:test_SysHLR03_ENG_hysteresis_window_is_positive:PASS</t>
  </si>
  <si>
    <t>Assertion expects calibration ordering/window property.</t>
  </si>
  <si>
    <t>test_shared_requirements.c:481:test_SysHLR03_PDEM_STOP_window_is_coherent:PASS</t>
  </si>
  <si>
    <t>test_shared_requirements.c:482:test_SysHLR03_PDEM_HYB_ordering:PASS</t>
  </si>
  <si>
    <t>test_shared_requirements.c:483:test_SysHLR03_SOC_ordering:PASS</t>
  </si>
  <si>
    <t>test_shared_requirements.c:484:test_SysHLR03_SPEED_ordering:PASS</t>
  </si>
  <si>
    <t>Specific Unity test for NfHLR02.</t>
  </si>
  <si>
    <t>test_shared_requirements.c:487:test_NfHLR02_SOC_EV_hysteresis_cycle:PASS</t>
  </si>
  <si>
    <t>test_shared_requirements.c:488:test_NfHLR02_ENG_hysteresis_cycle:PASS</t>
  </si>
  <si>
    <t>Assertion expects identical repeated mode/output traces.</t>
  </si>
  <si>
    <t>Specific Unity test for NfHLR04.</t>
  </si>
  <si>
    <t>test_shared_requirements.c:491:test_NfHLR04_same_sequence_produces_same_outputs:PASS</t>
  </si>
  <si>
    <t>Executed by</t>
  </si>
  <si>
    <t>Status (auto)</t>
  </si>
  <si>
    <t>Run Command</t>
  </si>
  <si>
    <t>Automated Unity run</t>
  </si>
  <si>
    <t>gcc ... test_person_e.c &amp;&amp; ./test_person_e_workbook.exe</t>
  </si>
  <si>
    <t>gcc ... test_shared_requirements.c &amp;&amp; ./test_shared_workbook.exe</t>
  </si>
  <si>
    <t>Coverage &amp; Test Execution Summary</t>
  </si>
  <si>
    <t>Requirements Coverage</t>
  </si>
  <si>
    <t>Total Requirements</t>
  </si>
  <si>
    <t>Requirements Covered</t>
  </si>
  <si>
    <t>Requirements Not Covered</t>
  </si>
  <si>
    <t>Coverage %</t>
  </si>
  <si>
    <t>Coverage by Requirement Type</t>
  </si>
  <si>
    <t>Total</t>
  </si>
  <si>
    <t>Covered</t>
  </si>
  <si>
    <t>Not Covered</t>
  </si>
  <si>
    <t>Total Test Cases authored</t>
  </si>
  <si>
    <t>Executed (PASS)</t>
  </si>
  <si>
    <t>Executed (FAIL)</t>
  </si>
  <si>
    <t>Not Executed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</si>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</sst>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6"/>
      <color rgb="FF1F4E78"/>
      <name val="Arial"/>
    </font>
    <font>
      <b/>
      <sz val="11"/>
      <name val="Arial"/>
    </font>
    <font>
      <sz val="10"/>
      <name val="Arial"/>
    </font>
    <font>
      <b/>
      <sz val="11"/>
      <color rgb="FF1F4E78"/>
      <name val="Arial"/>
    </font>
    <font>
      <b/>
      <sz val="10"/>
      <name val="Arial"/>
    </font>
    <font>
      <b/>
      <sz val="11"/>
      <color theme="1"/>
      <name val="Calibri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3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2" borderId="0" xfId="0" applyFont="1" applyFill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showGridLines="0" tabSelected="1" workbookViewId="0"/>
  </sheetViews>
  <sheetFormatPr defaultRowHeight="14.4" x14ac:dyDescent="0.3"/>
  <cols>
    <col min="1" max="1" width="3" customWidth="1"/>
    <col min="2" max="2" width="22" customWidth="1"/>
    <col min="3" max="3" width="40" customWidth="1"/>
    <col min="4" max="7" width="20" customWidth="1"/>
  </cols>
  <sheetData>
    <row r="1" spans="1:19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1" customHeight="1" x14ac:dyDescent="0.4">
      <c r="B2" s="11" t="s">
        <v>267</v>
      </c>
      <c r="C2" s="9"/>
      <c r="D2" s="9"/>
      <c r="E2" s="9"/>
      <c r="F2" s="9"/>
    </row>
    <row r="4" spans="1:19" x14ac:dyDescent="0.3">
      <c r="B4" s="1" t="s">
        <v>268</v>
      </c>
      <c r="C4" s="8" t="s">
        <v>269</v>
      </c>
      <c r="D4" s="9"/>
      <c r="E4" s="9"/>
      <c r="F4" s="9"/>
      <c r="G4" s="9"/>
    </row>
    <row r="5" spans="1:19" x14ac:dyDescent="0.3">
      <c r="B5" s="1" t="s">
        <v>270</v>
      </c>
      <c r="C5" s="8" t="s">
        <v>14</v>
      </c>
      <c r="D5" s="9"/>
      <c r="E5" s="9"/>
      <c r="F5" s="9"/>
      <c r="G5" s="9"/>
    </row>
    <row r="6" spans="1:19" x14ac:dyDescent="0.3">
      <c r="B6" s="1" t="s">
        <v>271</v>
      </c>
      <c r="C6" s="8" t="s">
        <v>245</v>
      </c>
      <c r="D6" s="9"/>
      <c r="E6" s="9"/>
      <c r="F6" s="9"/>
      <c r="G6" s="9"/>
    </row>
    <row r="7" spans="1:19" x14ac:dyDescent="0.3">
      <c r="B7" s="1" t="s">
        <v>272</v>
      </c>
      <c r="C7" s="8" t="s">
        <v>273</v>
      </c>
      <c r="D7" s="9"/>
      <c r="E7" s="9"/>
      <c r="F7" s="9"/>
      <c r="G7" s="9"/>
    </row>
    <row r="8" spans="1:19" x14ac:dyDescent="0.3">
      <c r="B8" s="1" t="s">
        <v>274</v>
      </c>
      <c r="C8" s="8" t="s">
        <v>275</v>
      </c>
      <c r="D8" s="9"/>
      <c r="E8" s="9"/>
      <c r="F8" s="9"/>
      <c r="G8" s="9"/>
    </row>
    <row r="9" spans="1:19" x14ac:dyDescent="0.3">
      <c r="B9" s="1" t="s">
        <v>276</v>
      </c>
      <c r="C9" s="8" t="s">
        <v>277</v>
      </c>
      <c r="D9" s="9"/>
      <c r="E9" s="9"/>
      <c r="F9" s="9"/>
      <c r="G9" s="9"/>
    </row>
    <row r="10" spans="1:19" x14ac:dyDescent="0.3">
      <c r="B10" s="1" t="s">
        <v>278</v>
      </c>
      <c r="C10" s="8" t="s">
        <v>279</v>
      </c>
      <c r="D10" s="9"/>
      <c r="E10" s="9"/>
      <c r="F10" s="9"/>
      <c r="G10" s="9"/>
    </row>
    <row r="11" spans="1:19" x14ac:dyDescent="0.3">
      <c r="B11" s="1" t="s">
        <v>280</v>
      </c>
      <c r="C11" s="8" t="s">
        <v>281</v>
      </c>
      <c r="D11" s="9"/>
      <c r="E11" s="9"/>
      <c r="F11" s="9"/>
      <c r="G11" s="9"/>
    </row>
    <row r="12" spans="1:19" x14ac:dyDescent="0.3">
      <c r="B12" s="1" t="s">
        <v>282</v>
      </c>
      <c r="C12" s="8" t="s">
        <v>283</v>
      </c>
      <c r="D12" s="9"/>
      <c r="E12" s="9"/>
      <c r="F12" s="9"/>
      <c r="G12" s="9"/>
    </row>
    <row r="14" spans="1:19" x14ac:dyDescent="0.3">
      <c r="B14" s="10" t="s">
        <v>284</v>
      </c>
      <c r="C14" s="9"/>
      <c r="D14" s="9"/>
      <c r="E14" s="9"/>
      <c r="F14" s="9"/>
      <c r="G14" s="9"/>
    </row>
    <row r="15" spans="1:19" x14ac:dyDescent="0.3">
      <c r="B15" s="2" t="s">
        <v>272</v>
      </c>
      <c r="C15" s="8" t="s">
        <v>285</v>
      </c>
      <c r="D15" s="9"/>
      <c r="E15" s="9"/>
      <c r="F15" s="9"/>
      <c r="G15" s="9"/>
    </row>
    <row r="16" spans="1:19" x14ac:dyDescent="0.3">
      <c r="B16" s="2" t="s">
        <v>286</v>
      </c>
      <c r="C16" s="8" t="s">
        <v>287</v>
      </c>
      <c r="D16" s="9"/>
      <c r="E16" s="9"/>
      <c r="F16" s="9"/>
      <c r="G16" s="9"/>
    </row>
    <row r="17" spans="2:7" x14ac:dyDescent="0.3">
      <c r="B17" s="2" t="s">
        <v>288</v>
      </c>
      <c r="C17" s="8" t="s">
        <v>289</v>
      </c>
      <c r="D17" s="9"/>
      <c r="E17" s="9"/>
      <c r="F17" s="9"/>
      <c r="G17" s="9"/>
    </row>
    <row r="18" spans="2:7" x14ac:dyDescent="0.3">
      <c r="B18" s="2" t="s">
        <v>290</v>
      </c>
      <c r="C18" s="8" t="s">
        <v>291</v>
      </c>
      <c r="D18" s="9"/>
      <c r="E18" s="9"/>
      <c r="F18" s="9"/>
      <c r="G18" s="9"/>
    </row>
    <row r="19" spans="2:7" x14ac:dyDescent="0.3">
      <c r="B19" s="2" t="s">
        <v>292</v>
      </c>
      <c r="C19" s="8" t="s">
        <v>293</v>
      </c>
      <c r="D19" s="9"/>
      <c r="E19" s="9"/>
      <c r="F19" s="9"/>
      <c r="G19" s="9"/>
    </row>
    <row r="21" spans="2:7" x14ac:dyDescent="0.3">
      <c r="B21" s="10" t="s">
        <v>294</v>
      </c>
      <c r="C21" s="9"/>
      <c r="D21" s="9"/>
      <c r="E21" s="9"/>
      <c r="F21" s="9"/>
      <c r="G21" s="9"/>
    </row>
    <row r="22" spans="2:7" x14ac:dyDescent="0.3">
      <c r="B22" s="3" t="s">
        <v>295</v>
      </c>
      <c r="C22" s="8" t="s">
        <v>296</v>
      </c>
      <c r="D22" s="9"/>
      <c r="E22" s="9"/>
      <c r="F22" s="9"/>
      <c r="G22" s="9"/>
    </row>
    <row r="23" spans="2:7" x14ac:dyDescent="0.3">
      <c r="B23" s="3" t="s">
        <v>297</v>
      </c>
      <c r="C23" s="8" t="s">
        <v>298</v>
      </c>
      <c r="D23" s="9"/>
      <c r="E23" s="9"/>
      <c r="F23" s="9"/>
      <c r="G23" s="9"/>
    </row>
    <row r="24" spans="2:7" x14ac:dyDescent="0.3">
      <c r="B24" s="3" t="s">
        <v>299</v>
      </c>
      <c r="C24" s="8" t="s">
        <v>300</v>
      </c>
      <c r="D24" s="9"/>
      <c r="E24" s="9"/>
      <c r="F24" s="9"/>
      <c r="G24" s="9"/>
    </row>
    <row r="25" spans="2:7" x14ac:dyDescent="0.3">
      <c r="B25" s="3" t="s">
        <v>301</v>
      </c>
      <c r="C25" s="8" t="s">
        <v>302</v>
      </c>
      <c r="D25" s="9"/>
      <c r="E25" s="9"/>
      <c r="F25" s="9"/>
      <c r="G25" s="9"/>
    </row>
    <row r="26" spans="2:7" x14ac:dyDescent="0.3">
      <c r="B26" s="3" t="s">
        <v>303</v>
      </c>
      <c r="C26" s="8" t="s">
        <v>304</v>
      </c>
      <c r="D26" s="9"/>
      <c r="E26" s="9"/>
      <c r="F26" s="9"/>
      <c r="G26" s="9"/>
    </row>
  </sheetData>
  <mergeCells count="22">
    <mergeCell ref="C26:G26"/>
    <mergeCell ref="C4:G4"/>
    <mergeCell ref="B2:F2"/>
    <mergeCell ref="C10:G10"/>
    <mergeCell ref="C16:G16"/>
    <mergeCell ref="C25:G25"/>
    <mergeCell ref="C22:G22"/>
    <mergeCell ref="C9:G9"/>
    <mergeCell ref="C12:G12"/>
    <mergeCell ref="C11:G11"/>
    <mergeCell ref="C23:G23"/>
    <mergeCell ref="C8:G8"/>
    <mergeCell ref="C17:G17"/>
    <mergeCell ref="C7:G7"/>
    <mergeCell ref="C19:G19"/>
    <mergeCell ref="B21:G21"/>
    <mergeCell ref="C6:G6"/>
    <mergeCell ref="B14:G14"/>
    <mergeCell ref="C24:G24"/>
    <mergeCell ref="C15:G15"/>
    <mergeCell ref="C5:G5"/>
    <mergeCell ref="C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topLeftCell="D1" workbookViewId="0">
      <selection activeCell="I8" sqref="I8"/>
    </sheetView>
  </sheetViews>
  <sheetFormatPr defaultRowHeight="14.4" x14ac:dyDescent="0.3"/>
  <cols>
    <col min="1" max="1" width="14" customWidth="1"/>
    <col min="2" max="2" width="16" customWidth="1"/>
    <col min="3" max="3" width="40" customWidth="1"/>
    <col min="4" max="4" width="145.6640625" bestFit="1" customWidth="1"/>
    <col min="5" max="5" width="20" customWidth="1"/>
    <col min="6" max="6" width="22" customWidth="1"/>
    <col min="7" max="7" width="12" customWidth="1"/>
    <col min="8" max="8" width="14" customWidth="1"/>
    <col min="9" max="9" width="16" customWidth="1"/>
  </cols>
  <sheetData>
    <row r="1" spans="1:19" ht="20.399999999999999" customHeight="1" x14ac:dyDescent="0.3">
      <c r="A1" s="7" t="s">
        <v>0</v>
      </c>
      <c r="B1" s="7" t="s">
        <v>305</v>
      </c>
      <c r="C1" s="7" t="s">
        <v>306</v>
      </c>
      <c r="D1" s="7" t="s">
        <v>307</v>
      </c>
      <c r="E1" s="7" t="s">
        <v>308</v>
      </c>
      <c r="F1" s="7" t="s">
        <v>309</v>
      </c>
      <c r="G1" s="7" t="s">
        <v>310</v>
      </c>
      <c r="H1" s="7" t="s">
        <v>311</v>
      </c>
      <c r="I1" s="7" t="s">
        <v>312</v>
      </c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4.15" customHeight="1" x14ac:dyDescent="0.3">
      <c r="A2" s="4" t="s">
        <v>236</v>
      </c>
      <c r="B2" s="5" t="s">
        <v>313</v>
      </c>
      <c r="C2" s="4" t="s">
        <v>314</v>
      </c>
      <c r="D2" s="5" t="s">
        <v>315</v>
      </c>
      <c r="E2" s="5" t="s">
        <v>316</v>
      </c>
      <c r="F2" s="4" t="s">
        <v>317</v>
      </c>
      <c r="G2" s="4" t="str">
        <f t="shared" ref="G2:G41" si="0">IF(H2&gt;0,"YES","NO")</f>
        <v>YES</v>
      </c>
      <c r="H2" s="4">
        <f>COUNTIF('Test Cases'!$B$2:$B$200,A2)</f>
        <v>1</v>
      </c>
      <c r="I2" s="4" t="str">
        <f>IF(H2=0,"NOT COVERED",IF(COUNTIFS('Test Execution'!$B$2:$B$200,A2,'Test Execution'!$M$2:$M$200,"FAIL")&gt;0,"FAIL",IF(COUNTIFS('Test Execution'!$B$2:$B$200,A2,'Test Execution'!$M$2:$M$200,"NOT EXECUTED")&gt;0,"NOT EXECUTED","PASS")))</f>
        <v>PASS</v>
      </c>
    </row>
    <row r="3" spans="1:19" ht="24.15" customHeight="1" x14ac:dyDescent="0.3">
      <c r="A3" s="4" t="s">
        <v>209</v>
      </c>
      <c r="B3" s="5" t="s">
        <v>313</v>
      </c>
      <c r="C3" s="4" t="s">
        <v>318</v>
      </c>
      <c r="D3" s="5" t="s">
        <v>319</v>
      </c>
      <c r="E3" s="5" t="s">
        <v>316</v>
      </c>
      <c r="F3" s="4" t="s">
        <v>317</v>
      </c>
      <c r="G3" s="4" t="str">
        <f t="shared" si="0"/>
        <v>YES</v>
      </c>
      <c r="H3" s="4">
        <f>COUNTIF('Test Cases'!$B$2:$B$200,A3)</f>
        <v>6</v>
      </c>
      <c r="I3" s="4" t="str">
        <f>IF(H3=0,"NOT COVERED",IF(COUNTIFS('Test Execution'!$B$2:$B$200,A3,'Test Execution'!$M$2:$M$200,"FAIL")&gt;0,"FAIL",IF(COUNTIFS('Test Execution'!$B$2:$B$200,A3,'Test Execution'!$M$2:$M$200,"NOT EXECUTED")&gt;0,"NOT EXECUTED","PASS")))</f>
        <v>PASS</v>
      </c>
    </row>
    <row r="4" spans="1:19" ht="24.15" customHeight="1" x14ac:dyDescent="0.3">
      <c r="A4" s="4" t="s">
        <v>241</v>
      </c>
      <c r="B4" s="5" t="s">
        <v>313</v>
      </c>
      <c r="C4" s="4" t="s">
        <v>320</v>
      </c>
      <c r="D4" s="5" t="s">
        <v>321</v>
      </c>
      <c r="E4" s="5" t="s">
        <v>316</v>
      </c>
      <c r="F4" s="4" t="s">
        <v>317</v>
      </c>
      <c r="G4" s="4" t="str">
        <f t="shared" si="0"/>
        <v>YES</v>
      </c>
      <c r="H4" s="4">
        <f>COUNTIF('Test Cases'!$B$2:$B$200,A4)</f>
        <v>6</v>
      </c>
      <c r="I4" s="4" t="str">
        <f>IF(H4=0,"NOT COVERED",IF(COUNTIFS('Test Execution'!$B$2:$B$200,A4,'Test Execution'!$M$2:$M$200,"FAIL")&gt;0,"FAIL",IF(COUNTIFS('Test Execution'!$B$2:$B$200,A4,'Test Execution'!$M$2:$M$200,"NOT EXECUTED")&gt;0,"NOT EXECUTED","PASS")))</f>
        <v>PASS</v>
      </c>
    </row>
    <row r="5" spans="1:19" ht="24.15" customHeight="1" x14ac:dyDescent="0.3">
      <c r="A5" s="4" t="s">
        <v>10</v>
      </c>
      <c r="B5" s="5" t="s">
        <v>322</v>
      </c>
      <c r="C5" s="4" t="s">
        <v>323</v>
      </c>
      <c r="D5" s="5" t="s">
        <v>324</v>
      </c>
      <c r="E5" s="5" t="s">
        <v>236</v>
      </c>
      <c r="F5" s="4" t="s">
        <v>317</v>
      </c>
      <c r="G5" s="4" t="str">
        <f t="shared" si="0"/>
        <v>YES</v>
      </c>
      <c r="H5" s="4">
        <f>COUNTIF('Test Cases'!$B$2:$B$200,A5)</f>
        <v>3</v>
      </c>
      <c r="I5" s="4" t="str">
        <f>IF(H5=0,"NOT COVERED",IF(COUNTIFS('Test Execution'!$B$2:$B$200,A5,'Test Execution'!$M$2:$M$200,"FAIL")&gt;0,"FAIL",IF(COUNTIFS('Test Execution'!$B$2:$B$200,A5,'Test Execution'!$M$2:$M$200,"NOT EXECUTED")&gt;0,"NOT EXECUTED","PASS")))</f>
        <v>PASS</v>
      </c>
    </row>
    <row r="6" spans="1:19" ht="24.15" customHeight="1" x14ac:dyDescent="0.3">
      <c r="A6" s="4" t="s">
        <v>169</v>
      </c>
      <c r="B6" s="5" t="s">
        <v>322</v>
      </c>
      <c r="C6" s="4" t="s">
        <v>325</v>
      </c>
      <c r="D6" s="5" t="s">
        <v>326</v>
      </c>
      <c r="E6" s="5" t="s">
        <v>209</v>
      </c>
      <c r="F6" s="4" t="s">
        <v>317</v>
      </c>
      <c r="G6" s="4" t="str">
        <f t="shared" si="0"/>
        <v>YES</v>
      </c>
      <c r="H6" s="4">
        <f>COUNTIF('Test Cases'!$B$2:$B$200,A6)</f>
        <v>11</v>
      </c>
      <c r="I6" s="4" t="str">
        <f>IF(H6=0,"NOT COVERED",IF(COUNTIFS('Test Execution'!$B$2:$B$200,A6,'Test Execution'!$M$2:$M$200,"FAIL")&gt;0,"FAIL",IF(COUNTIFS('Test Execution'!$B$2:$B$200,A6,'Test Execution'!$M$2:$M$200,"NOT EXECUTED")&gt;0,"NOT EXECUTED","PASS")))</f>
        <v>PASS</v>
      </c>
    </row>
    <row r="7" spans="1:19" ht="24.15" customHeight="1" x14ac:dyDescent="0.3">
      <c r="A7" s="4" t="s">
        <v>327</v>
      </c>
      <c r="B7" s="5" t="s">
        <v>322</v>
      </c>
      <c r="C7" s="4" t="s">
        <v>328</v>
      </c>
      <c r="D7" s="5" t="s">
        <v>329</v>
      </c>
      <c r="E7" s="5" t="s">
        <v>330</v>
      </c>
      <c r="F7" s="4" t="s">
        <v>331</v>
      </c>
      <c r="G7" s="4" t="str">
        <f t="shared" si="0"/>
        <v>NO</v>
      </c>
      <c r="H7" s="4">
        <f>COUNTIF('Test Cases'!$B$2:$B$200,A7)</f>
        <v>0</v>
      </c>
      <c r="I7" s="4" t="str">
        <f>IF(H7=0,"NOT COVERED",IF(COUNTIFS('Test Execution'!$B$2:$B$200,A7,'Test Execution'!$M$2:$M$200,"FAIL")&gt;0,"FAIL",IF(COUNTIFS('Test Execution'!$B$2:$B$200,A7,'Test Execution'!$M$2:$M$200,"NOT EXECUTED")&gt;0,"NOT EXECUTED","PASS")))</f>
        <v>NOT COVERED</v>
      </c>
    </row>
    <row r="8" spans="1:19" ht="24.15" customHeight="1" x14ac:dyDescent="0.3">
      <c r="A8" s="4" t="s">
        <v>332</v>
      </c>
      <c r="B8" s="5" t="s">
        <v>322</v>
      </c>
      <c r="C8" s="4" t="s">
        <v>333</v>
      </c>
      <c r="D8" s="5" t="s">
        <v>334</v>
      </c>
      <c r="E8" s="5" t="s">
        <v>330</v>
      </c>
      <c r="F8" s="4" t="s">
        <v>335</v>
      </c>
      <c r="G8" s="4" t="str">
        <f t="shared" si="0"/>
        <v>NO</v>
      </c>
      <c r="H8" s="4">
        <f>COUNTIF('Test Cases'!$B$2:$B$200,A8)</f>
        <v>0</v>
      </c>
      <c r="I8" s="4" t="str">
        <f>IF(H8=0,"NOT COVERED",IF(COUNTIFS('Test Execution'!$B$2:$B$200,A8,'Test Execution'!$M$2:$M$200,"FAIL")&gt;0,"FAIL",IF(COUNTIFS('Test Execution'!$B$2:$B$200,A8,'Test Execution'!$M$2:$M$200,"NOT EXECUTED")&gt;0,"NOT EXECUTED","PASS")))</f>
        <v>NOT COVERED</v>
      </c>
    </row>
    <row r="9" spans="1:19" ht="24.15" customHeight="1" x14ac:dyDescent="0.3">
      <c r="A9" s="4" t="s">
        <v>336</v>
      </c>
      <c r="B9" s="5" t="s">
        <v>322</v>
      </c>
      <c r="C9" s="4" t="s">
        <v>337</v>
      </c>
      <c r="D9" s="5" t="s">
        <v>338</v>
      </c>
      <c r="E9" s="5" t="s">
        <v>330</v>
      </c>
      <c r="F9" s="4" t="s">
        <v>339</v>
      </c>
      <c r="G9" s="4" t="str">
        <f t="shared" si="0"/>
        <v>NO</v>
      </c>
      <c r="H9" s="4">
        <f>COUNTIF('Test Cases'!$B$2:$B$200,A9)</f>
        <v>0</v>
      </c>
      <c r="I9" s="4" t="str">
        <f>IF(H9=0,"NOT COVERED",IF(COUNTIFS('Test Execution'!$B$2:$B$200,A9,'Test Execution'!$M$2:$M$200,"FAIL")&gt;0,"FAIL",IF(COUNTIFS('Test Execution'!$B$2:$B$200,A9,'Test Execution'!$M$2:$M$200,"NOT EXECUTED")&gt;0,"NOT EXECUTED","PASS")))</f>
        <v>NOT COVERED</v>
      </c>
    </row>
    <row r="10" spans="1:19" ht="24.15" customHeight="1" x14ac:dyDescent="0.3">
      <c r="A10" s="4" t="s">
        <v>146</v>
      </c>
      <c r="B10" s="5" t="s">
        <v>322</v>
      </c>
      <c r="C10" s="4" t="s">
        <v>340</v>
      </c>
      <c r="D10" s="5" t="s">
        <v>341</v>
      </c>
      <c r="E10" s="5" t="s">
        <v>330</v>
      </c>
      <c r="F10" s="4" t="s">
        <v>342</v>
      </c>
      <c r="G10" s="4" t="str">
        <f t="shared" si="0"/>
        <v>YES</v>
      </c>
      <c r="H10" s="4">
        <f>COUNTIF('Test Cases'!$B$2:$B$200,A10)</f>
        <v>5</v>
      </c>
      <c r="I10" s="4" t="str">
        <f>IF(H10=0,"NOT COVERED",IF(COUNTIFS('Test Execution'!$B$2:$B$200,A10,'Test Execution'!$M$2:$M$200,"FAIL")&gt;0,"FAIL",IF(COUNTIFS('Test Execution'!$B$2:$B$200,A10,'Test Execution'!$M$2:$M$200,"NOT EXECUTED")&gt;0,"NOT EXECUTED","PASS")))</f>
        <v>PASS</v>
      </c>
    </row>
    <row r="11" spans="1:19" ht="24.15" customHeight="1" x14ac:dyDescent="0.3">
      <c r="A11" s="4" t="s">
        <v>343</v>
      </c>
      <c r="B11" s="5" t="s">
        <v>322</v>
      </c>
      <c r="C11" s="4" t="s">
        <v>344</v>
      </c>
      <c r="D11" s="5" t="s">
        <v>345</v>
      </c>
      <c r="E11" s="5" t="s">
        <v>330</v>
      </c>
      <c r="F11" s="4" t="s">
        <v>346</v>
      </c>
      <c r="G11" s="4" t="str">
        <f t="shared" si="0"/>
        <v>NO</v>
      </c>
      <c r="H11" s="4">
        <f>COUNTIF('Test Cases'!$B$2:$B$200,A11)</f>
        <v>0</v>
      </c>
      <c r="I11" s="4" t="str">
        <f>IF(H11=0,"NOT COVERED",IF(COUNTIFS('Test Execution'!$B$2:$B$200,A11,'Test Execution'!$M$2:$M$200,"FAIL")&gt;0,"FAIL",IF(COUNTIFS('Test Execution'!$B$2:$B$200,A11,'Test Execution'!$M$2:$M$200,"NOT EXECUTED")&gt;0,"NOT EXECUTED","PASS")))</f>
        <v>NOT COVERED</v>
      </c>
    </row>
    <row r="12" spans="1:19" ht="24.15" customHeight="1" x14ac:dyDescent="0.3">
      <c r="A12" s="4" t="s">
        <v>157</v>
      </c>
      <c r="B12" s="5" t="s">
        <v>322</v>
      </c>
      <c r="C12" s="4" t="s">
        <v>347</v>
      </c>
      <c r="D12" s="5" t="s">
        <v>348</v>
      </c>
      <c r="E12" s="5" t="s">
        <v>330</v>
      </c>
      <c r="F12" s="4" t="s">
        <v>349</v>
      </c>
      <c r="G12" s="4" t="str">
        <f t="shared" si="0"/>
        <v>YES</v>
      </c>
      <c r="H12" s="4">
        <f>COUNTIF('Test Cases'!$B$2:$B$200,A12)</f>
        <v>1</v>
      </c>
      <c r="I12" s="4" t="str">
        <f>IF(H12=0,"NOT COVERED",IF(COUNTIFS('Test Execution'!$B$2:$B$200,A12,'Test Execution'!$M$2:$M$200,"FAIL")&gt;0,"FAIL",IF(COUNTIFS('Test Execution'!$B$2:$B$200,A12,'Test Execution'!$M$2:$M$200,"NOT EXECUTED")&gt;0,"NOT EXECUTED","PASS")))</f>
        <v>PASS</v>
      </c>
    </row>
    <row r="13" spans="1:19" ht="24.15" customHeight="1" x14ac:dyDescent="0.3">
      <c r="A13" s="4" t="s">
        <v>162</v>
      </c>
      <c r="B13" s="5" t="s">
        <v>322</v>
      </c>
      <c r="C13" s="4" t="s">
        <v>350</v>
      </c>
      <c r="D13" s="5" t="s">
        <v>351</v>
      </c>
      <c r="E13" s="5" t="s">
        <v>330</v>
      </c>
      <c r="F13" s="4" t="s">
        <v>349</v>
      </c>
      <c r="G13" s="4" t="str">
        <f t="shared" si="0"/>
        <v>YES</v>
      </c>
      <c r="H13" s="4">
        <f>COUNTIF('Test Cases'!$B$2:$B$200,A13)</f>
        <v>1</v>
      </c>
      <c r="I13" s="4" t="str">
        <f>IF(H13=0,"NOT COVERED",IF(COUNTIFS('Test Execution'!$B$2:$B$200,A13,'Test Execution'!$M$2:$M$200,"FAIL")&gt;0,"FAIL",IF(COUNTIFS('Test Execution'!$B$2:$B$200,A13,'Test Execution'!$M$2:$M$200,"NOT EXECUTED")&gt;0,"NOT EXECUTED","PASS")))</f>
        <v>PASS</v>
      </c>
    </row>
    <row r="14" spans="1:19" ht="24.15" customHeight="1" x14ac:dyDescent="0.3">
      <c r="A14" s="4" t="s">
        <v>18</v>
      </c>
      <c r="B14" s="5" t="s">
        <v>322</v>
      </c>
      <c r="C14" s="4" t="s">
        <v>352</v>
      </c>
      <c r="D14" s="5" t="s">
        <v>353</v>
      </c>
      <c r="E14" s="5" t="s">
        <v>236</v>
      </c>
      <c r="F14" s="4" t="s">
        <v>317</v>
      </c>
      <c r="G14" s="4" t="str">
        <f t="shared" si="0"/>
        <v>YES</v>
      </c>
      <c r="H14" s="4">
        <f>COUNTIF('Test Cases'!$B$2:$B$200,A14)</f>
        <v>7</v>
      </c>
      <c r="I14" s="4" t="str">
        <f>IF(H14=0,"NOT COVERED",IF(COUNTIFS('Test Execution'!$B$2:$B$200,A14,'Test Execution'!$M$2:$M$200,"FAIL")&gt;0,"FAIL",IF(COUNTIFS('Test Execution'!$B$2:$B$200,A14,'Test Execution'!$M$2:$M$200,"NOT EXECUTED")&gt;0,"NOT EXECUTED","PASS")))</f>
        <v>PASS</v>
      </c>
    </row>
    <row r="15" spans="1:19" ht="24.15" customHeight="1" x14ac:dyDescent="0.3">
      <c r="A15" s="4" t="s">
        <v>354</v>
      </c>
      <c r="B15" s="5" t="s">
        <v>355</v>
      </c>
      <c r="C15" s="4" t="s">
        <v>356</v>
      </c>
      <c r="D15" s="5" t="s">
        <v>357</v>
      </c>
      <c r="E15" s="5" t="s">
        <v>358</v>
      </c>
      <c r="F15" s="4" t="s">
        <v>331</v>
      </c>
      <c r="G15" s="4" t="str">
        <f t="shared" si="0"/>
        <v>NO</v>
      </c>
      <c r="H15" s="4">
        <f>COUNTIF('Test Cases'!$B$2:$B$200,A15)</f>
        <v>0</v>
      </c>
      <c r="I15" s="4" t="str">
        <f>IF(H15=0,"NOT COVERED",IF(COUNTIFS('Test Execution'!$B$2:$B$200,A15,'Test Execution'!$M$2:$M$200,"FAIL")&gt;0,"FAIL",IF(COUNTIFS('Test Execution'!$B$2:$B$200,A15,'Test Execution'!$M$2:$M$200,"NOT EXECUTED")&gt;0,"NOT EXECUTED","PASS")))</f>
        <v>NOT COVERED</v>
      </c>
    </row>
    <row r="16" spans="1:19" ht="24.15" customHeight="1" x14ac:dyDescent="0.3">
      <c r="A16" s="4" t="s">
        <v>359</v>
      </c>
      <c r="B16" s="5" t="s">
        <v>355</v>
      </c>
      <c r="C16" s="4" t="s">
        <v>360</v>
      </c>
      <c r="D16" s="5" t="s">
        <v>361</v>
      </c>
      <c r="E16" s="5" t="s">
        <v>358</v>
      </c>
      <c r="F16" s="4" t="s">
        <v>331</v>
      </c>
      <c r="G16" s="4" t="str">
        <f t="shared" si="0"/>
        <v>NO</v>
      </c>
      <c r="H16" s="4">
        <f>COUNTIF('Test Cases'!$B$2:$B$200,A16)</f>
        <v>0</v>
      </c>
      <c r="I16" s="4" t="str">
        <f>IF(H16=0,"NOT COVERED",IF(COUNTIFS('Test Execution'!$B$2:$B$200,A16,'Test Execution'!$M$2:$M$200,"FAIL")&gt;0,"FAIL",IF(COUNTIFS('Test Execution'!$B$2:$B$200,A16,'Test Execution'!$M$2:$M$200,"NOT EXECUTED")&gt;0,"NOT EXECUTED","PASS")))</f>
        <v>NOT COVERED</v>
      </c>
    </row>
    <row r="17" spans="1:9" ht="24.15" customHeight="1" x14ac:dyDescent="0.3">
      <c r="A17" s="4" t="s">
        <v>362</v>
      </c>
      <c r="B17" s="5" t="s">
        <v>355</v>
      </c>
      <c r="C17" s="4" t="s">
        <v>363</v>
      </c>
      <c r="D17" s="5" t="s">
        <v>364</v>
      </c>
      <c r="E17" s="5" t="s">
        <v>365</v>
      </c>
      <c r="F17" s="4" t="s">
        <v>335</v>
      </c>
      <c r="G17" s="4" t="str">
        <f t="shared" si="0"/>
        <v>NO</v>
      </c>
      <c r="H17" s="4">
        <f>COUNTIF('Test Cases'!$B$2:$B$200,A17)</f>
        <v>0</v>
      </c>
      <c r="I17" s="4" t="str">
        <f>IF(H17=0,"NOT COVERED",IF(COUNTIFS('Test Execution'!$B$2:$B$200,A17,'Test Execution'!$M$2:$M$200,"FAIL")&gt;0,"FAIL",IF(COUNTIFS('Test Execution'!$B$2:$B$200,A17,'Test Execution'!$M$2:$M$200,"NOT EXECUTED")&gt;0,"NOT EXECUTED","PASS")))</f>
        <v>NOT COVERED</v>
      </c>
    </row>
    <row r="18" spans="1:9" ht="24.15" customHeight="1" x14ac:dyDescent="0.3">
      <c r="A18" s="4" t="s">
        <v>366</v>
      </c>
      <c r="B18" s="5" t="s">
        <v>355</v>
      </c>
      <c r="C18" s="4" t="s">
        <v>367</v>
      </c>
      <c r="D18" s="5" t="s">
        <v>368</v>
      </c>
      <c r="E18" s="5" t="s">
        <v>365</v>
      </c>
      <c r="F18" s="4" t="s">
        <v>335</v>
      </c>
      <c r="G18" s="4" t="str">
        <f t="shared" si="0"/>
        <v>NO</v>
      </c>
      <c r="H18" s="4">
        <f>COUNTIF('Test Cases'!$B$2:$B$200,A18)</f>
        <v>0</v>
      </c>
      <c r="I18" s="4" t="str">
        <f>IF(H18=0,"NOT COVERED",IF(COUNTIFS('Test Execution'!$B$2:$B$200,A18,'Test Execution'!$M$2:$M$200,"FAIL")&gt;0,"FAIL",IF(COUNTIFS('Test Execution'!$B$2:$B$200,A18,'Test Execution'!$M$2:$M$200,"NOT EXECUTED")&gt;0,"NOT EXECUTED","PASS")))</f>
        <v>NOT COVERED</v>
      </c>
    </row>
    <row r="19" spans="1:9" ht="24.15" customHeight="1" x14ac:dyDescent="0.3">
      <c r="A19" s="4" t="s">
        <v>369</v>
      </c>
      <c r="B19" s="5" t="s">
        <v>355</v>
      </c>
      <c r="C19" s="4" t="s">
        <v>370</v>
      </c>
      <c r="D19" s="5" t="s">
        <v>371</v>
      </c>
      <c r="E19" s="5" t="s">
        <v>365</v>
      </c>
      <c r="F19" s="4" t="s">
        <v>335</v>
      </c>
      <c r="G19" s="4" t="str">
        <f t="shared" si="0"/>
        <v>NO</v>
      </c>
      <c r="H19" s="4">
        <f>COUNTIF('Test Cases'!$B$2:$B$200,A19)</f>
        <v>0</v>
      </c>
      <c r="I19" s="4" t="str">
        <f>IF(H19=0,"NOT COVERED",IF(COUNTIFS('Test Execution'!$B$2:$B$200,A19,'Test Execution'!$M$2:$M$200,"FAIL")&gt;0,"FAIL",IF(COUNTIFS('Test Execution'!$B$2:$B$200,A19,'Test Execution'!$M$2:$M$200,"NOT EXECUTED")&gt;0,"NOT EXECUTED","PASS")))</f>
        <v>NOT COVERED</v>
      </c>
    </row>
    <row r="20" spans="1:9" ht="24.15" customHeight="1" x14ac:dyDescent="0.3">
      <c r="A20" s="4" t="s">
        <v>372</v>
      </c>
      <c r="B20" s="5" t="s">
        <v>355</v>
      </c>
      <c r="C20" s="4" t="s">
        <v>373</v>
      </c>
      <c r="D20" s="5" t="s">
        <v>374</v>
      </c>
      <c r="E20" s="5" t="s">
        <v>375</v>
      </c>
      <c r="F20" s="4" t="s">
        <v>339</v>
      </c>
      <c r="G20" s="4" t="str">
        <f t="shared" si="0"/>
        <v>NO</v>
      </c>
      <c r="H20" s="4">
        <f>COUNTIF('Test Cases'!$B$2:$B$200,A20)</f>
        <v>0</v>
      </c>
      <c r="I20" s="4" t="str">
        <f>IF(H20=0,"NOT COVERED",IF(COUNTIFS('Test Execution'!$B$2:$B$200,A20,'Test Execution'!$M$2:$M$200,"FAIL")&gt;0,"FAIL",IF(COUNTIFS('Test Execution'!$B$2:$B$200,A20,'Test Execution'!$M$2:$M$200,"NOT EXECUTED")&gt;0,"NOT EXECUTED","PASS")))</f>
        <v>NOT COVERED</v>
      </c>
    </row>
    <row r="21" spans="1:9" ht="24.15" customHeight="1" x14ac:dyDescent="0.3">
      <c r="A21" s="4" t="s">
        <v>376</v>
      </c>
      <c r="B21" s="5" t="s">
        <v>355</v>
      </c>
      <c r="C21" s="4" t="s">
        <v>377</v>
      </c>
      <c r="D21" s="5" t="s">
        <v>378</v>
      </c>
      <c r="E21" s="5" t="s">
        <v>375</v>
      </c>
      <c r="F21" s="4" t="s">
        <v>339</v>
      </c>
      <c r="G21" s="4" t="str">
        <f t="shared" si="0"/>
        <v>NO</v>
      </c>
      <c r="H21" s="4">
        <f>COUNTIF('Test Cases'!$B$2:$B$200,A21)</f>
        <v>0</v>
      </c>
      <c r="I21" s="4" t="str">
        <f>IF(H21=0,"NOT COVERED",IF(COUNTIFS('Test Execution'!$B$2:$B$200,A21,'Test Execution'!$M$2:$M$200,"FAIL")&gt;0,"FAIL",IF(COUNTIFS('Test Execution'!$B$2:$B$200,A21,'Test Execution'!$M$2:$M$200,"NOT EXECUTED")&gt;0,"NOT EXECUTED","PASS")))</f>
        <v>NOT COVERED</v>
      </c>
    </row>
    <row r="22" spans="1:9" ht="24.15" customHeight="1" x14ac:dyDescent="0.3">
      <c r="A22" s="4" t="s">
        <v>379</v>
      </c>
      <c r="B22" s="5" t="s">
        <v>355</v>
      </c>
      <c r="C22" s="4" t="s">
        <v>380</v>
      </c>
      <c r="D22" s="5" t="s">
        <v>381</v>
      </c>
      <c r="E22" s="5" t="s">
        <v>375</v>
      </c>
      <c r="F22" s="4" t="s">
        <v>339</v>
      </c>
      <c r="G22" s="4" t="str">
        <f t="shared" si="0"/>
        <v>NO</v>
      </c>
      <c r="H22" s="4">
        <f>COUNTIF('Test Cases'!$B$2:$B$200,A22)</f>
        <v>0</v>
      </c>
      <c r="I22" s="4" t="str">
        <f>IF(H22=0,"NOT COVERED",IF(COUNTIFS('Test Execution'!$B$2:$B$200,A22,'Test Execution'!$M$2:$M$200,"FAIL")&gt;0,"FAIL",IF(COUNTIFS('Test Execution'!$B$2:$B$200,A22,'Test Execution'!$M$2:$M$200,"NOT EXECUTED")&gt;0,"NOT EXECUTED","PASS")))</f>
        <v>NOT COVERED</v>
      </c>
    </row>
    <row r="23" spans="1:9" ht="24.15" customHeight="1" x14ac:dyDescent="0.3">
      <c r="A23" s="4" t="s">
        <v>25</v>
      </c>
      <c r="B23" s="5" t="s">
        <v>355</v>
      </c>
      <c r="C23" s="4" t="s">
        <v>382</v>
      </c>
      <c r="D23" s="5" t="s">
        <v>383</v>
      </c>
      <c r="E23" s="5" t="s">
        <v>384</v>
      </c>
      <c r="F23" s="4" t="s">
        <v>342</v>
      </c>
      <c r="G23" s="4" t="str">
        <f t="shared" si="0"/>
        <v>YES</v>
      </c>
      <c r="H23" s="4">
        <f>COUNTIF('Test Cases'!$B$2:$B$200,A23)</f>
        <v>4</v>
      </c>
      <c r="I23" s="4" t="str">
        <f>IF(H23=0,"NOT COVERED",IF(COUNTIFS('Test Execution'!$B$2:$B$200,A23,'Test Execution'!$M$2:$M$200,"FAIL")&gt;0,"FAIL",IF(COUNTIFS('Test Execution'!$B$2:$B$200,A23,'Test Execution'!$M$2:$M$200,"NOT EXECUTED")&gt;0,"NOT EXECUTED","PASS")))</f>
        <v>PASS</v>
      </c>
    </row>
    <row r="24" spans="1:9" ht="24.15" customHeight="1" x14ac:dyDescent="0.3">
      <c r="A24" s="4" t="s">
        <v>36</v>
      </c>
      <c r="B24" s="5" t="s">
        <v>355</v>
      </c>
      <c r="C24" s="4" t="s">
        <v>385</v>
      </c>
      <c r="D24" s="5" t="s">
        <v>386</v>
      </c>
      <c r="E24" s="5" t="s">
        <v>384</v>
      </c>
      <c r="F24" s="4" t="s">
        <v>342</v>
      </c>
      <c r="G24" s="4" t="str">
        <f t="shared" si="0"/>
        <v>YES</v>
      </c>
      <c r="H24" s="4">
        <f>COUNTIF('Test Cases'!$B$2:$B$200,A24)</f>
        <v>7</v>
      </c>
      <c r="I24" s="4" t="str">
        <f>IF(H24=0,"NOT COVERED",IF(COUNTIFS('Test Execution'!$B$2:$B$200,A24,'Test Execution'!$M$2:$M$200,"FAIL")&gt;0,"FAIL",IF(COUNTIFS('Test Execution'!$B$2:$B$200,A24,'Test Execution'!$M$2:$M$200,"NOT EXECUTED")&gt;0,"NOT EXECUTED","PASS")))</f>
        <v>PASS</v>
      </c>
    </row>
    <row r="25" spans="1:9" ht="24.15" customHeight="1" x14ac:dyDescent="0.3">
      <c r="A25" s="4" t="s">
        <v>45</v>
      </c>
      <c r="B25" s="5" t="s">
        <v>355</v>
      </c>
      <c r="C25" s="4" t="s">
        <v>387</v>
      </c>
      <c r="D25" s="5" t="s">
        <v>388</v>
      </c>
      <c r="E25" s="5" t="s">
        <v>384</v>
      </c>
      <c r="F25" s="4" t="s">
        <v>342</v>
      </c>
      <c r="G25" s="4" t="str">
        <f t="shared" si="0"/>
        <v>YES</v>
      </c>
      <c r="H25" s="4">
        <f>COUNTIF('Test Cases'!$B$2:$B$200,A25)</f>
        <v>4</v>
      </c>
      <c r="I25" s="4" t="str">
        <f>IF(H25=0,"NOT COVERED",IF(COUNTIFS('Test Execution'!$B$2:$B$200,A25,'Test Execution'!$M$2:$M$200,"FAIL")&gt;0,"FAIL",IF(COUNTIFS('Test Execution'!$B$2:$B$200,A25,'Test Execution'!$M$2:$M$200,"NOT EXECUTED")&gt;0,"NOT EXECUTED","PASS")))</f>
        <v>PASS</v>
      </c>
    </row>
    <row r="26" spans="1:9" ht="24.15" customHeight="1" x14ac:dyDescent="0.3">
      <c r="A26" s="4" t="s">
        <v>54</v>
      </c>
      <c r="B26" s="5" t="s">
        <v>355</v>
      </c>
      <c r="C26" s="4" t="s">
        <v>389</v>
      </c>
      <c r="D26" s="5" t="s">
        <v>390</v>
      </c>
      <c r="E26" s="5" t="s">
        <v>384</v>
      </c>
      <c r="F26" s="4" t="s">
        <v>342</v>
      </c>
      <c r="G26" s="4" t="str">
        <f t="shared" si="0"/>
        <v>YES</v>
      </c>
      <c r="H26" s="4">
        <f>COUNTIF('Test Cases'!$B$2:$B$200,A26)</f>
        <v>8</v>
      </c>
      <c r="I26" s="4" t="str">
        <f>IF(H26=0,"NOT COVERED",IF(COUNTIFS('Test Execution'!$B$2:$B$200,A26,'Test Execution'!$M$2:$M$200,"FAIL")&gt;0,"FAIL",IF(COUNTIFS('Test Execution'!$B$2:$B$200,A26,'Test Execution'!$M$2:$M$200,"NOT EXECUTED")&gt;0,"NOT EXECUTED","PASS")))</f>
        <v>PASS</v>
      </c>
    </row>
    <row r="27" spans="1:9" ht="24.15" customHeight="1" x14ac:dyDescent="0.3">
      <c r="A27" s="4" t="s">
        <v>70</v>
      </c>
      <c r="B27" s="5" t="s">
        <v>355</v>
      </c>
      <c r="C27" s="4" t="s">
        <v>391</v>
      </c>
      <c r="D27" s="5" t="s">
        <v>392</v>
      </c>
      <c r="E27" s="5" t="s">
        <v>384</v>
      </c>
      <c r="F27" s="4" t="s">
        <v>342</v>
      </c>
      <c r="G27" s="4" t="str">
        <f t="shared" si="0"/>
        <v>YES</v>
      </c>
      <c r="H27" s="4">
        <f>COUNTIF('Test Cases'!$B$2:$B$200,A27)</f>
        <v>8</v>
      </c>
      <c r="I27" s="4" t="str">
        <f>IF(H27=0,"NOT COVERED",IF(COUNTIFS('Test Execution'!$B$2:$B$200,A27,'Test Execution'!$M$2:$M$200,"FAIL")&gt;0,"FAIL",IF(COUNTIFS('Test Execution'!$B$2:$B$200,A27,'Test Execution'!$M$2:$M$200,"NOT EXECUTED")&gt;0,"NOT EXECUTED","PASS")))</f>
        <v>PASS</v>
      </c>
    </row>
    <row r="28" spans="1:9" ht="24.15" customHeight="1" x14ac:dyDescent="0.3">
      <c r="A28" s="4" t="s">
        <v>85</v>
      </c>
      <c r="B28" s="5" t="s">
        <v>355</v>
      </c>
      <c r="C28" s="4" t="s">
        <v>393</v>
      </c>
      <c r="D28" s="5" t="s">
        <v>394</v>
      </c>
      <c r="E28" s="5" t="s">
        <v>384</v>
      </c>
      <c r="F28" s="4" t="s">
        <v>342</v>
      </c>
      <c r="G28" s="4" t="str">
        <f t="shared" si="0"/>
        <v>YES</v>
      </c>
      <c r="H28" s="4">
        <f>COUNTIF('Test Cases'!$B$2:$B$200,A28)</f>
        <v>7</v>
      </c>
      <c r="I28" s="4" t="str">
        <f>IF(H28=0,"NOT COVERED",IF(COUNTIFS('Test Execution'!$B$2:$B$200,A28,'Test Execution'!$M$2:$M$200,"FAIL")&gt;0,"FAIL",IF(COUNTIFS('Test Execution'!$B$2:$B$200,A28,'Test Execution'!$M$2:$M$200,"NOT EXECUTED")&gt;0,"NOT EXECUTED","PASS")))</f>
        <v>PASS</v>
      </c>
    </row>
    <row r="29" spans="1:9" ht="24.15" customHeight="1" x14ac:dyDescent="0.3">
      <c r="A29" s="4" t="s">
        <v>100</v>
      </c>
      <c r="B29" s="5" t="s">
        <v>355</v>
      </c>
      <c r="C29" s="4" t="s">
        <v>395</v>
      </c>
      <c r="D29" s="5" t="s">
        <v>396</v>
      </c>
      <c r="E29" s="5" t="s">
        <v>384</v>
      </c>
      <c r="F29" s="4" t="s">
        <v>342</v>
      </c>
      <c r="G29" s="4" t="str">
        <f t="shared" si="0"/>
        <v>YES</v>
      </c>
      <c r="H29" s="4">
        <f>COUNTIF('Test Cases'!$B$2:$B$200,A29)</f>
        <v>4</v>
      </c>
      <c r="I29" s="4" t="str">
        <f>IF(H29=0,"NOT COVERED",IF(COUNTIFS('Test Execution'!$B$2:$B$200,A29,'Test Execution'!$M$2:$M$200,"FAIL")&gt;0,"FAIL",IF(COUNTIFS('Test Execution'!$B$2:$B$200,A29,'Test Execution'!$M$2:$M$200,"NOT EXECUTED")&gt;0,"NOT EXECUTED","PASS")))</f>
        <v>PASS</v>
      </c>
    </row>
    <row r="30" spans="1:9" ht="24.15" customHeight="1" x14ac:dyDescent="0.3">
      <c r="A30" s="4" t="s">
        <v>110</v>
      </c>
      <c r="B30" s="5" t="s">
        <v>355</v>
      </c>
      <c r="C30" s="4" t="s">
        <v>397</v>
      </c>
      <c r="D30" s="5" t="s">
        <v>398</v>
      </c>
      <c r="E30" s="5" t="s">
        <v>384</v>
      </c>
      <c r="F30" s="4" t="s">
        <v>342</v>
      </c>
      <c r="G30" s="4" t="str">
        <f t="shared" si="0"/>
        <v>YES</v>
      </c>
      <c r="H30" s="4">
        <f>COUNTIF('Test Cases'!$B$2:$B$200,A30)</f>
        <v>5</v>
      </c>
      <c r="I30" s="4" t="str">
        <f>IF(H30=0,"NOT COVERED",IF(COUNTIFS('Test Execution'!$B$2:$B$200,A30,'Test Execution'!$M$2:$M$200,"FAIL")&gt;0,"FAIL",IF(COUNTIFS('Test Execution'!$B$2:$B$200,A30,'Test Execution'!$M$2:$M$200,"NOT EXECUTED")&gt;0,"NOT EXECUTED","PASS")))</f>
        <v>PASS</v>
      </c>
    </row>
    <row r="31" spans="1:9" ht="24.15" customHeight="1" x14ac:dyDescent="0.3">
      <c r="A31" s="4" t="s">
        <v>119</v>
      </c>
      <c r="B31" s="5" t="s">
        <v>355</v>
      </c>
      <c r="C31" s="4" t="s">
        <v>399</v>
      </c>
      <c r="D31" s="5" t="s">
        <v>400</v>
      </c>
      <c r="E31" s="5" t="s">
        <v>384</v>
      </c>
      <c r="F31" s="4" t="s">
        <v>342</v>
      </c>
      <c r="G31" s="4" t="str">
        <f t="shared" si="0"/>
        <v>YES</v>
      </c>
      <c r="H31" s="4">
        <f>COUNTIF('Test Cases'!$B$2:$B$200,A31)</f>
        <v>5</v>
      </c>
      <c r="I31" s="4" t="str">
        <f>IF(H31=0,"NOT COVERED",IF(COUNTIFS('Test Execution'!$B$2:$B$200,A31,'Test Execution'!$M$2:$M$200,"FAIL")&gt;0,"FAIL",IF(COUNTIFS('Test Execution'!$B$2:$B$200,A31,'Test Execution'!$M$2:$M$200,"NOT EXECUTED")&gt;0,"NOT EXECUTED","PASS")))</f>
        <v>PASS</v>
      </c>
    </row>
    <row r="32" spans="1:9" ht="24.15" customHeight="1" x14ac:dyDescent="0.3">
      <c r="A32" s="4" t="s">
        <v>401</v>
      </c>
      <c r="B32" s="5" t="s">
        <v>355</v>
      </c>
      <c r="C32" s="4" t="s">
        <v>402</v>
      </c>
      <c r="D32" s="5" t="s">
        <v>403</v>
      </c>
      <c r="E32" s="5" t="s">
        <v>404</v>
      </c>
      <c r="F32" s="4" t="s">
        <v>346</v>
      </c>
      <c r="G32" s="4" t="str">
        <f t="shared" si="0"/>
        <v>NO</v>
      </c>
      <c r="H32" s="4">
        <f>COUNTIF('Test Cases'!$B$2:$B$200,A32)</f>
        <v>0</v>
      </c>
      <c r="I32" s="4" t="str">
        <f>IF(H32=0,"NOT COVERED",IF(COUNTIFS('Test Execution'!$B$2:$B$200,A32,'Test Execution'!$M$2:$M$200,"FAIL")&gt;0,"FAIL",IF(COUNTIFS('Test Execution'!$B$2:$B$200,A32,'Test Execution'!$M$2:$M$200,"NOT EXECUTED")&gt;0,"NOT EXECUTED","PASS")))</f>
        <v>NOT COVERED</v>
      </c>
    </row>
    <row r="33" spans="1:9" ht="24.15" customHeight="1" x14ac:dyDescent="0.3">
      <c r="A33" s="4" t="s">
        <v>405</v>
      </c>
      <c r="B33" s="5" t="s">
        <v>355</v>
      </c>
      <c r="C33" s="4" t="s">
        <v>406</v>
      </c>
      <c r="D33" s="5" t="s">
        <v>407</v>
      </c>
      <c r="E33" s="5" t="s">
        <v>404</v>
      </c>
      <c r="F33" s="4" t="s">
        <v>346</v>
      </c>
      <c r="G33" s="4" t="str">
        <f t="shared" si="0"/>
        <v>NO</v>
      </c>
      <c r="H33" s="4">
        <f>COUNTIF('Test Cases'!$B$2:$B$200,A33)</f>
        <v>0</v>
      </c>
      <c r="I33" s="4" t="str">
        <f>IF(H33=0,"NOT COVERED",IF(COUNTIFS('Test Execution'!$B$2:$B$200,A33,'Test Execution'!$M$2:$M$200,"FAIL")&gt;0,"FAIL",IF(COUNTIFS('Test Execution'!$B$2:$B$200,A33,'Test Execution'!$M$2:$M$200,"NOT EXECUTED")&gt;0,"NOT EXECUTED","PASS")))</f>
        <v>NOT COVERED</v>
      </c>
    </row>
    <row r="34" spans="1:9" ht="24.15" customHeight="1" x14ac:dyDescent="0.3">
      <c r="A34" s="4" t="s">
        <v>408</v>
      </c>
      <c r="B34" s="5" t="s">
        <v>355</v>
      </c>
      <c r="C34" s="4" t="s">
        <v>409</v>
      </c>
      <c r="D34" s="5" t="s">
        <v>410</v>
      </c>
      <c r="E34" s="5" t="s">
        <v>411</v>
      </c>
      <c r="F34" s="4" t="s">
        <v>346</v>
      </c>
      <c r="G34" s="4" t="str">
        <f t="shared" si="0"/>
        <v>NO</v>
      </c>
      <c r="H34" s="4">
        <f>COUNTIF('Test Cases'!$B$2:$B$200,A34)</f>
        <v>0</v>
      </c>
      <c r="I34" s="4" t="str">
        <f>IF(H34=0,"NOT COVERED",IF(COUNTIFS('Test Execution'!$B$2:$B$200,A34,'Test Execution'!$M$2:$M$200,"FAIL")&gt;0,"FAIL",IF(COUNTIFS('Test Execution'!$B$2:$B$200,A34,'Test Execution'!$M$2:$M$200,"NOT EXECUTED")&gt;0,"NOT EXECUTED","PASS")))</f>
        <v>NOT COVERED</v>
      </c>
    </row>
    <row r="35" spans="1:9" ht="24.15" customHeight="1" x14ac:dyDescent="0.3">
      <c r="A35" s="4" t="s">
        <v>128</v>
      </c>
      <c r="B35" s="5" t="s">
        <v>355</v>
      </c>
      <c r="C35" s="4" t="s">
        <v>412</v>
      </c>
      <c r="D35" s="5" t="s">
        <v>413</v>
      </c>
      <c r="E35" s="5" t="s">
        <v>411</v>
      </c>
      <c r="F35" s="4" t="s">
        <v>342</v>
      </c>
      <c r="G35" s="4" t="str">
        <f t="shared" si="0"/>
        <v>YES</v>
      </c>
      <c r="H35" s="4">
        <f>COUNTIF('Test Cases'!$B$2:$B$200,A35)</f>
        <v>4</v>
      </c>
      <c r="I35" s="4" t="str">
        <f>IF(H35=0,"NOT COVERED",IF(COUNTIFS('Test Execution'!$B$2:$B$200,A35,'Test Execution'!$M$2:$M$200,"FAIL")&gt;0,"FAIL",IF(COUNTIFS('Test Execution'!$B$2:$B$200,A35,'Test Execution'!$M$2:$M$200,"NOT EXECUTED")&gt;0,"NOT EXECUTED","PASS")))</f>
        <v>PASS</v>
      </c>
    </row>
    <row r="36" spans="1:9" ht="24.15" customHeight="1" x14ac:dyDescent="0.3">
      <c r="A36" s="4" t="s">
        <v>414</v>
      </c>
      <c r="B36" s="5" t="s">
        <v>355</v>
      </c>
      <c r="C36" s="4" t="s">
        <v>415</v>
      </c>
      <c r="D36" s="5" t="s">
        <v>416</v>
      </c>
      <c r="E36" s="5" t="s">
        <v>417</v>
      </c>
      <c r="F36" s="4" t="s">
        <v>346</v>
      </c>
      <c r="G36" s="4" t="str">
        <f t="shared" si="0"/>
        <v>NO</v>
      </c>
      <c r="H36" s="4">
        <f>COUNTIF('Test Cases'!$B$2:$B$200,A36)</f>
        <v>0</v>
      </c>
      <c r="I36" s="4" t="str">
        <f>IF(H36=0,"NOT COVERED",IF(COUNTIFS('Test Execution'!$B$2:$B$200,A36,'Test Execution'!$M$2:$M$200,"FAIL")&gt;0,"FAIL",IF(COUNTIFS('Test Execution'!$B$2:$B$200,A36,'Test Execution'!$M$2:$M$200,"NOT EXECUTED")&gt;0,"NOT EXECUTED","PASS")))</f>
        <v>NOT COVERED</v>
      </c>
    </row>
    <row r="37" spans="1:9" ht="24.15" customHeight="1" x14ac:dyDescent="0.3">
      <c r="A37" s="4" t="s">
        <v>137</v>
      </c>
      <c r="B37" s="5" t="s">
        <v>355</v>
      </c>
      <c r="C37" s="4" t="s">
        <v>418</v>
      </c>
      <c r="D37" s="5" t="s">
        <v>419</v>
      </c>
      <c r="E37" s="5" t="s">
        <v>417</v>
      </c>
      <c r="F37" s="4" t="s">
        <v>342</v>
      </c>
      <c r="G37" s="4" t="str">
        <f t="shared" si="0"/>
        <v>YES</v>
      </c>
      <c r="H37" s="4">
        <f>COUNTIF('Test Cases'!$B$2:$B$200,A37)</f>
        <v>5</v>
      </c>
      <c r="I37" s="4" t="str">
        <f>IF(H37=0,"NOT COVERED",IF(COUNTIFS('Test Execution'!$B$2:$B$200,A37,'Test Execution'!$M$2:$M$200,"FAIL")&gt;0,"FAIL",IF(COUNTIFS('Test Execution'!$B$2:$B$200,A37,'Test Execution'!$M$2:$M$200,"NOT EXECUTED")&gt;0,"NOT EXECUTED","PASS")))</f>
        <v>PASS</v>
      </c>
    </row>
    <row r="38" spans="1:9" ht="24.15" customHeight="1" x14ac:dyDescent="0.3">
      <c r="A38" s="4" t="s">
        <v>420</v>
      </c>
      <c r="B38" s="5" t="s">
        <v>421</v>
      </c>
      <c r="C38" s="4" t="s">
        <v>422</v>
      </c>
      <c r="D38" s="5" t="s">
        <v>423</v>
      </c>
      <c r="E38" s="5" t="s">
        <v>316</v>
      </c>
      <c r="F38" s="4" t="s">
        <v>317</v>
      </c>
      <c r="G38" s="4" t="str">
        <f t="shared" si="0"/>
        <v>NO</v>
      </c>
      <c r="H38" s="4">
        <f>COUNTIF('Test Cases'!$B$2:$B$200,A38)</f>
        <v>0</v>
      </c>
      <c r="I38" s="4" t="str">
        <f>IF(H38=0,"NOT COVERED",IF(COUNTIFS('Test Execution'!$B$2:$B$200,A38,'Test Execution'!$M$2:$M$200,"FAIL")&gt;0,"FAIL",IF(COUNTIFS('Test Execution'!$B$2:$B$200,A38,'Test Execution'!$M$2:$M$200,"NOT EXECUTED")&gt;0,"NOT EXECUTED","PASS")))</f>
        <v>NOT COVERED</v>
      </c>
    </row>
    <row r="39" spans="1:9" ht="24.15" customHeight="1" x14ac:dyDescent="0.3">
      <c r="A39" s="4" t="s">
        <v>257</v>
      </c>
      <c r="B39" s="5" t="s">
        <v>421</v>
      </c>
      <c r="C39" s="4" t="s">
        <v>424</v>
      </c>
      <c r="D39" s="5" t="s">
        <v>425</v>
      </c>
      <c r="E39" s="5" t="s">
        <v>316</v>
      </c>
      <c r="F39" s="4" t="s">
        <v>317</v>
      </c>
      <c r="G39" s="4" t="str">
        <f t="shared" si="0"/>
        <v>YES</v>
      </c>
      <c r="H39" s="4">
        <f>COUNTIF('Test Cases'!$B$2:$B$200,A39)</f>
        <v>2</v>
      </c>
      <c r="I39" s="4" t="str">
        <f>IF(H39=0,"NOT COVERED",IF(COUNTIFS('Test Execution'!$B$2:$B$200,A39,'Test Execution'!$M$2:$M$200,"FAIL")&gt;0,"FAIL",IF(COUNTIFS('Test Execution'!$B$2:$B$200,A39,'Test Execution'!$M$2:$M$200,"NOT EXECUTED")&gt;0,"NOT EXECUTED","PASS")))</f>
        <v>PASS</v>
      </c>
    </row>
    <row r="40" spans="1:9" ht="24.15" customHeight="1" x14ac:dyDescent="0.3">
      <c r="A40" s="4" t="s">
        <v>426</v>
      </c>
      <c r="B40" s="5" t="s">
        <v>421</v>
      </c>
      <c r="C40" s="4" t="s">
        <v>427</v>
      </c>
      <c r="D40" s="5" t="s">
        <v>428</v>
      </c>
      <c r="E40" s="5" t="s">
        <v>316</v>
      </c>
      <c r="F40" s="4" t="s">
        <v>317</v>
      </c>
      <c r="G40" s="4" t="str">
        <f t="shared" si="0"/>
        <v>NO</v>
      </c>
      <c r="H40" s="4">
        <f>COUNTIF('Test Cases'!$B$2:$B$200,A40)</f>
        <v>0</v>
      </c>
      <c r="I40" s="4" t="str">
        <f>IF(H40=0,"NOT COVERED",IF(COUNTIFS('Test Execution'!$B$2:$B$200,A40,'Test Execution'!$M$2:$M$200,"FAIL")&gt;0,"FAIL",IF(COUNTIFS('Test Execution'!$B$2:$B$200,A40,'Test Execution'!$M$2:$M$200,"NOT EXECUTED")&gt;0,"NOT EXECUTED","PASS")))</f>
        <v>NOT COVERED</v>
      </c>
    </row>
    <row r="41" spans="1:9" ht="24.15" customHeight="1" x14ac:dyDescent="0.3">
      <c r="A41" s="4" t="s">
        <v>264</v>
      </c>
      <c r="B41" s="5" t="s">
        <v>421</v>
      </c>
      <c r="C41" s="4" t="s">
        <v>429</v>
      </c>
      <c r="D41" s="5" t="s">
        <v>430</v>
      </c>
      <c r="E41" s="5" t="s">
        <v>316</v>
      </c>
      <c r="F41" s="4" t="s">
        <v>317</v>
      </c>
      <c r="G41" s="4" t="str">
        <f t="shared" si="0"/>
        <v>YES</v>
      </c>
      <c r="H41" s="4">
        <f>COUNTIF('Test Cases'!$B$2:$B$200,A41)</f>
        <v>1</v>
      </c>
      <c r="I41" s="4" t="str">
        <f>IF(H41=0,"NOT COVERED",IF(COUNTIFS('Test Execution'!$B$2:$B$200,A41,'Test Execution'!$M$2:$M$200,"FAIL")&gt;0,"FAIL",IF(COUNTIFS('Test Execution'!$B$2:$B$200,A41,'Test Execution'!$M$2:$M$200,"NOT EXECUTED")&gt;0,"NOT EXECUTED","PASS")))</f>
        <v>PASS</v>
      </c>
    </row>
  </sheetData>
  <conditionalFormatting sqref="G2:G41">
    <cfRule type="expression" dxfId="7" priority="1">
      <formula>$G2="YES"</formula>
    </cfRule>
    <cfRule type="expression" dxfId="6" priority="2">
      <formula>$G2="NO"</formula>
    </cfRule>
  </conditionalFormatting>
  <conditionalFormatting sqref="I2:I41">
    <cfRule type="expression" dxfId="5" priority="3">
      <formula>$I2="PASS"</formula>
    </cfRule>
    <cfRule type="expression" dxfId="4" priority="4">
      <formula>$I2="FAIL"</formula>
    </cfRule>
    <cfRule type="expression" dxfId="3" priority="5">
      <formula>OR($I2="NOT COVERED",$I2="IN PROGRESS")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6"/>
  <sheetViews>
    <sheetView topLeftCell="K1" workbookViewId="0">
      <selection activeCell="K1" sqref="K1"/>
    </sheetView>
  </sheetViews>
  <sheetFormatPr defaultRowHeight="14.4" x14ac:dyDescent="0.3"/>
  <cols>
    <col min="1" max="1" width="18" customWidth="1"/>
    <col min="2" max="2" width="16" customWidth="1"/>
    <col min="3" max="4" width="20" customWidth="1"/>
    <col min="5" max="5" width="57.109375" bestFit="1" customWidth="1"/>
    <col min="6" max="6" width="29.88671875" bestFit="1" customWidth="1"/>
    <col min="7" max="7" width="39.21875" customWidth="1"/>
    <col min="8" max="8" width="50.5546875" customWidth="1"/>
    <col min="9" max="9" width="17.21875" bestFit="1" customWidth="1"/>
    <col min="10" max="10" width="18" customWidth="1"/>
    <col min="11" max="11" width="64.109375" bestFit="1" customWidth="1"/>
    <col min="12" max="12" width="12" customWidth="1"/>
    <col min="13" max="13" width="27.6640625" bestFit="1" customWidth="1"/>
    <col min="14" max="14" width="12" customWidth="1"/>
    <col min="15" max="15" width="50.44140625" bestFit="1" customWidth="1"/>
    <col min="16" max="16" width="13.6640625" bestFit="1" customWidth="1"/>
    <col min="17" max="18" width="14" customWidth="1"/>
    <col min="19" max="19" width="78.44140625" customWidth="1"/>
  </cols>
  <sheetData>
    <row r="1" spans="1:19" ht="20.399999999999999" customHeight="1" x14ac:dyDescent="0.3">
      <c r="A1" s="6" t="s">
        <v>1</v>
      </c>
      <c r="B1" s="6" t="s">
        <v>0</v>
      </c>
      <c r="C1" s="6" t="s">
        <v>309</v>
      </c>
      <c r="D1" s="6" t="s">
        <v>431</v>
      </c>
      <c r="E1" s="6" t="s">
        <v>3</v>
      </c>
      <c r="F1" s="6" t="s">
        <v>432</v>
      </c>
      <c r="G1" s="6" t="s">
        <v>7</v>
      </c>
      <c r="H1" s="6" t="s">
        <v>2</v>
      </c>
      <c r="I1" s="6" t="s">
        <v>433</v>
      </c>
      <c r="J1" s="6" t="s">
        <v>434</v>
      </c>
      <c r="K1" s="6" t="s">
        <v>435</v>
      </c>
      <c r="L1" s="6" t="s">
        <v>436</v>
      </c>
      <c r="M1" s="6" t="s">
        <v>437</v>
      </c>
      <c r="N1" s="6" t="s">
        <v>438</v>
      </c>
      <c r="O1" s="6" t="s">
        <v>439</v>
      </c>
      <c r="P1" s="6" t="s">
        <v>440</v>
      </c>
      <c r="Q1" s="6" t="s">
        <v>441</v>
      </c>
      <c r="R1" s="6" t="s">
        <v>312</v>
      </c>
      <c r="S1" s="6" t="s">
        <v>442</v>
      </c>
    </row>
    <row r="2" spans="1:19" ht="22.95" customHeight="1" x14ac:dyDescent="0.3">
      <c r="A2" t="s">
        <v>11</v>
      </c>
      <c r="B2" t="s">
        <v>10</v>
      </c>
      <c r="C2" t="s">
        <v>317</v>
      </c>
      <c r="D2" t="s">
        <v>14</v>
      </c>
      <c r="E2" t="s">
        <v>13</v>
      </c>
      <c r="F2" t="s">
        <v>15</v>
      </c>
      <c r="G2" t="s">
        <v>17</v>
      </c>
      <c r="H2" t="s">
        <v>12</v>
      </c>
      <c r="I2">
        <v>80</v>
      </c>
      <c r="J2">
        <v>790</v>
      </c>
      <c r="K2" t="s">
        <v>443</v>
      </c>
      <c r="L2" t="s">
        <v>295</v>
      </c>
      <c r="M2" t="s">
        <v>444</v>
      </c>
      <c r="N2" t="s">
        <v>342</v>
      </c>
      <c r="O2" t="s">
        <v>445</v>
      </c>
      <c r="P2" t="s">
        <v>281</v>
      </c>
      <c r="Q2" t="s">
        <v>295</v>
      </c>
      <c r="R2" t="s">
        <v>295</v>
      </c>
      <c r="S2" t="s">
        <v>446</v>
      </c>
    </row>
    <row r="3" spans="1:19" ht="22.95" customHeight="1" x14ac:dyDescent="0.3">
      <c r="A3" t="s">
        <v>19</v>
      </c>
      <c r="B3" t="s">
        <v>18</v>
      </c>
      <c r="C3" t="s">
        <v>317</v>
      </c>
      <c r="D3" t="s">
        <v>14</v>
      </c>
      <c r="E3" t="s">
        <v>21</v>
      </c>
      <c r="F3" t="s">
        <v>22</v>
      </c>
      <c r="G3" t="s">
        <v>17</v>
      </c>
      <c r="H3" t="s">
        <v>20</v>
      </c>
      <c r="I3">
        <v>88</v>
      </c>
      <c r="J3">
        <v>791</v>
      </c>
      <c r="K3" t="s">
        <v>447</v>
      </c>
      <c r="L3" t="s">
        <v>295</v>
      </c>
      <c r="M3" t="s">
        <v>448</v>
      </c>
      <c r="N3" t="s">
        <v>342</v>
      </c>
      <c r="O3" t="s">
        <v>445</v>
      </c>
      <c r="P3" t="s">
        <v>281</v>
      </c>
      <c r="Q3" t="s">
        <v>295</v>
      </c>
      <c r="R3" t="s">
        <v>295</v>
      </c>
      <c r="S3" t="s">
        <v>449</v>
      </c>
    </row>
    <row r="4" spans="1:19" ht="22.95" customHeight="1" x14ac:dyDescent="0.3">
      <c r="A4" t="s">
        <v>23</v>
      </c>
      <c r="B4" t="s">
        <v>18</v>
      </c>
      <c r="C4" t="s">
        <v>317</v>
      </c>
      <c r="D4" t="s">
        <v>14</v>
      </c>
      <c r="E4" t="s">
        <v>21</v>
      </c>
      <c r="F4" t="s">
        <v>22</v>
      </c>
      <c r="G4" t="s">
        <v>17</v>
      </c>
      <c r="H4" t="s">
        <v>24</v>
      </c>
      <c r="I4">
        <v>95</v>
      </c>
      <c r="J4">
        <v>792</v>
      </c>
      <c r="K4" t="s">
        <v>447</v>
      </c>
      <c r="L4" t="s">
        <v>295</v>
      </c>
      <c r="M4" t="s">
        <v>448</v>
      </c>
      <c r="N4" t="s">
        <v>342</v>
      </c>
      <c r="O4" t="s">
        <v>445</v>
      </c>
      <c r="P4" t="s">
        <v>281</v>
      </c>
      <c r="Q4" t="s">
        <v>295</v>
      </c>
      <c r="R4" t="s">
        <v>295</v>
      </c>
      <c r="S4" t="s">
        <v>450</v>
      </c>
    </row>
    <row r="5" spans="1:19" ht="22.95" customHeight="1" x14ac:dyDescent="0.3">
      <c r="A5" t="s">
        <v>26</v>
      </c>
      <c r="B5" t="s">
        <v>25</v>
      </c>
      <c r="C5" t="s">
        <v>342</v>
      </c>
      <c r="D5" t="s">
        <v>14</v>
      </c>
      <c r="E5" t="s">
        <v>28</v>
      </c>
      <c r="F5" t="s">
        <v>29</v>
      </c>
      <c r="G5" t="s">
        <v>17</v>
      </c>
      <c r="H5" t="s">
        <v>27</v>
      </c>
      <c r="I5">
        <v>115</v>
      </c>
      <c r="J5">
        <v>795</v>
      </c>
      <c r="K5" t="s">
        <v>451</v>
      </c>
      <c r="L5" t="s">
        <v>295</v>
      </c>
      <c r="M5" t="s">
        <v>452</v>
      </c>
      <c r="N5" t="s">
        <v>342</v>
      </c>
      <c r="O5" t="s">
        <v>445</v>
      </c>
      <c r="P5" t="s">
        <v>281</v>
      </c>
      <c r="Q5" t="s">
        <v>295</v>
      </c>
      <c r="R5" t="s">
        <v>295</v>
      </c>
      <c r="S5" t="s">
        <v>453</v>
      </c>
    </row>
    <row r="6" spans="1:19" ht="22.95" customHeight="1" x14ac:dyDescent="0.3">
      <c r="A6" t="s">
        <v>30</v>
      </c>
      <c r="B6" t="s">
        <v>25</v>
      </c>
      <c r="C6" t="s">
        <v>342</v>
      </c>
      <c r="D6" t="s">
        <v>14</v>
      </c>
      <c r="E6" t="s">
        <v>28</v>
      </c>
      <c r="F6" t="s">
        <v>29</v>
      </c>
      <c r="G6" t="s">
        <v>17</v>
      </c>
      <c r="H6" t="s">
        <v>31</v>
      </c>
      <c r="I6">
        <v>123</v>
      </c>
      <c r="J6">
        <v>796</v>
      </c>
      <c r="K6" t="s">
        <v>454</v>
      </c>
      <c r="L6" t="s">
        <v>295</v>
      </c>
      <c r="M6" t="s">
        <v>452</v>
      </c>
      <c r="N6" t="s">
        <v>342</v>
      </c>
      <c r="O6" t="s">
        <v>445</v>
      </c>
      <c r="P6" t="s">
        <v>281</v>
      </c>
      <c r="Q6" t="s">
        <v>295</v>
      </c>
      <c r="R6" t="s">
        <v>295</v>
      </c>
      <c r="S6" t="s">
        <v>455</v>
      </c>
    </row>
    <row r="7" spans="1:19" ht="22.95" customHeight="1" x14ac:dyDescent="0.3">
      <c r="A7" t="s">
        <v>32</v>
      </c>
      <c r="B7" t="s">
        <v>25</v>
      </c>
      <c r="C7" t="s">
        <v>342</v>
      </c>
      <c r="D7" t="s">
        <v>14</v>
      </c>
      <c r="E7" t="s">
        <v>28</v>
      </c>
      <c r="F7" t="s">
        <v>29</v>
      </c>
      <c r="G7" t="s">
        <v>17</v>
      </c>
      <c r="H7" t="s">
        <v>33</v>
      </c>
      <c r="I7">
        <v>132</v>
      </c>
      <c r="J7">
        <v>797</v>
      </c>
      <c r="K7" t="s">
        <v>454</v>
      </c>
      <c r="L7" t="s">
        <v>295</v>
      </c>
      <c r="M7" t="s">
        <v>452</v>
      </c>
      <c r="N7" t="s">
        <v>342</v>
      </c>
      <c r="O7" t="s">
        <v>445</v>
      </c>
      <c r="P7" t="s">
        <v>281</v>
      </c>
      <c r="Q7" t="s">
        <v>295</v>
      </c>
      <c r="R7" t="s">
        <v>295</v>
      </c>
      <c r="S7" t="s">
        <v>456</v>
      </c>
    </row>
    <row r="8" spans="1:19" ht="22.95" customHeight="1" x14ac:dyDescent="0.3">
      <c r="A8" t="s">
        <v>34</v>
      </c>
      <c r="B8" t="s">
        <v>25</v>
      </c>
      <c r="C8" t="s">
        <v>342</v>
      </c>
      <c r="D8" t="s">
        <v>14</v>
      </c>
      <c r="E8" t="s">
        <v>28</v>
      </c>
      <c r="F8" t="s">
        <v>29</v>
      </c>
      <c r="G8" t="s">
        <v>17</v>
      </c>
      <c r="H8" t="s">
        <v>35</v>
      </c>
      <c r="I8">
        <v>140</v>
      </c>
      <c r="J8">
        <v>798</v>
      </c>
      <c r="K8" t="s">
        <v>454</v>
      </c>
      <c r="L8" t="s">
        <v>295</v>
      </c>
      <c r="M8" t="s">
        <v>452</v>
      </c>
      <c r="N8" t="s">
        <v>342</v>
      </c>
      <c r="O8" t="s">
        <v>445</v>
      </c>
      <c r="P8" t="s">
        <v>281</v>
      </c>
      <c r="Q8" t="s">
        <v>295</v>
      </c>
      <c r="R8" t="s">
        <v>295</v>
      </c>
      <c r="S8" t="s">
        <v>457</v>
      </c>
    </row>
    <row r="9" spans="1:19" ht="22.95" customHeight="1" x14ac:dyDescent="0.3">
      <c r="A9" t="s">
        <v>37</v>
      </c>
      <c r="B9" t="s">
        <v>36</v>
      </c>
      <c r="C9" t="s">
        <v>342</v>
      </c>
      <c r="D9" t="s">
        <v>14</v>
      </c>
      <c r="E9" t="s">
        <v>28</v>
      </c>
      <c r="F9" t="s">
        <v>29</v>
      </c>
      <c r="G9" t="s">
        <v>17</v>
      </c>
      <c r="H9" t="s">
        <v>38</v>
      </c>
      <c r="I9">
        <v>151</v>
      </c>
      <c r="J9">
        <v>801</v>
      </c>
      <c r="K9" t="s">
        <v>451</v>
      </c>
      <c r="L9" t="s">
        <v>295</v>
      </c>
      <c r="M9" t="s">
        <v>458</v>
      </c>
      <c r="N9" t="s">
        <v>342</v>
      </c>
      <c r="O9" t="s">
        <v>445</v>
      </c>
      <c r="P9" t="s">
        <v>281</v>
      </c>
      <c r="Q9" t="s">
        <v>295</v>
      </c>
      <c r="R9" t="s">
        <v>295</v>
      </c>
      <c r="S9" t="s">
        <v>459</v>
      </c>
    </row>
    <row r="10" spans="1:19" ht="22.95" customHeight="1" x14ac:dyDescent="0.3">
      <c r="A10" t="s">
        <v>39</v>
      </c>
      <c r="B10" t="s">
        <v>36</v>
      </c>
      <c r="C10" t="s">
        <v>342</v>
      </c>
      <c r="D10" t="s">
        <v>14</v>
      </c>
      <c r="E10" t="s">
        <v>28</v>
      </c>
      <c r="F10" t="s">
        <v>29</v>
      </c>
      <c r="G10" t="s">
        <v>17</v>
      </c>
      <c r="H10" t="s">
        <v>40</v>
      </c>
      <c r="I10">
        <v>158</v>
      </c>
      <c r="J10">
        <v>802</v>
      </c>
      <c r="K10" t="s">
        <v>454</v>
      </c>
      <c r="L10" t="s">
        <v>295</v>
      </c>
      <c r="M10" t="s">
        <v>458</v>
      </c>
      <c r="N10" t="s">
        <v>342</v>
      </c>
      <c r="O10" t="s">
        <v>445</v>
      </c>
      <c r="P10" t="s">
        <v>281</v>
      </c>
      <c r="Q10" t="s">
        <v>295</v>
      </c>
      <c r="R10" t="s">
        <v>295</v>
      </c>
      <c r="S10" t="s">
        <v>460</v>
      </c>
    </row>
    <row r="11" spans="1:19" ht="22.95" customHeight="1" x14ac:dyDescent="0.3">
      <c r="A11" t="s">
        <v>41</v>
      </c>
      <c r="B11" t="s">
        <v>36</v>
      </c>
      <c r="C11" t="s">
        <v>342</v>
      </c>
      <c r="D11" t="s">
        <v>14</v>
      </c>
      <c r="E11" t="s">
        <v>28</v>
      </c>
      <c r="F11" t="s">
        <v>29</v>
      </c>
      <c r="G11" t="s">
        <v>17</v>
      </c>
      <c r="H11" t="s">
        <v>42</v>
      </c>
      <c r="I11">
        <v>165</v>
      </c>
      <c r="J11">
        <v>803</v>
      </c>
      <c r="K11" t="s">
        <v>454</v>
      </c>
      <c r="L11" t="s">
        <v>295</v>
      </c>
      <c r="M11" t="s">
        <v>458</v>
      </c>
      <c r="N11" t="s">
        <v>342</v>
      </c>
      <c r="O11" t="s">
        <v>445</v>
      </c>
      <c r="P11" t="s">
        <v>281</v>
      </c>
      <c r="Q11" t="s">
        <v>295</v>
      </c>
      <c r="R11" t="s">
        <v>295</v>
      </c>
      <c r="S11" t="s">
        <v>461</v>
      </c>
    </row>
    <row r="12" spans="1:19" ht="22.95" customHeight="1" x14ac:dyDescent="0.3">
      <c r="A12" t="s">
        <v>43</v>
      </c>
      <c r="B12" t="s">
        <v>36</v>
      </c>
      <c r="C12" t="s">
        <v>342</v>
      </c>
      <c r="D12" t="s">
        <v>14</v>
      </c>
      <c r="E12" t="s">
        <v>28</v>
      </c>
      <c r="F12" t="s">
        <v>29</v>
      </c>
      <c r="G12" t="s">
        <v>17</v>
      </c>
      <c r="H12" t="s">
        <v>44</v>
      </c>
      <c r="I12">
        <v>172</v>
      </c>
      <c r="J12">
        <v>804</v>
      </c>
      <c r="K12" t="s">
        <v>454</v>
      </c>
      <c r="L12" t="s">
        <v>295</v>
      </c>
      <c r="M12" t="s">
        <v>458</v>
      </c>
      <c r="N12" t="s">
        <v>342</v>
      </c>
      <c r="O12" t="s">
        <v>445</v>
      </c>
      <c r="P12" t="s">
        <v>281</v>
      </c>
      <c r="Q12" t="s">
        <v>295</v>
      </c>
      <c r="R12" t="s">
        <v>295</v>
      </c>
      <c r="S12" t="s">
        <v>462</v>
      </c>
    </row>
    <row r="13" spans="1:19" ht="22.95" customHeight="1" x14ac:dyDescent="0.3">
      <c r="A13" t="s">
        <v>46</v>
      </c>
      <c r="B13" t="s">
        <v>45</v>
      </c>
      <c r="C13" t="s">
        <v>342</v>
      </c>
      <c r="D13" t="s">
        <v>14</v>
      </c>
      <c r="E13" t="s">
        <v>28</v>
      </c>
      <c r="F13" t="s">
        <v>29</v>
      </c>
      <c r="G13" t="s">
        <v>17</v>
      </c>
      <c r="H13" t="s">
        <v>47</v>
      </c>
      <c r="I13">
        <v>183</v>
      </c>
      <c r="J13">
        <v>807</v>
      </c>
      <c r="K13" t="s">
        <v>451</v>
      </c>
      <c r="L13" t="s">
        <v>295</v>
      </c>
      <c r="M13" t="s">
        <v>463</v>
      </c>
      <c r="N13" t="s">
        <v>342</v>
      </c>
      <c r="O13" t="s">
        <v>445</v>
      </c>
      <c r="P13" t="s">
        <v>281</v>
      </c>
      <c r="Q13" t="s">
        <v>295</v>
      </c>
      <c r="R13" t="s">
        <v>295</v>
      </c>
      <c r="S13" t="s">
        <v>464</v>
      </c>
    </row>
    <row r="14" spans="1:19" ht="22.95" customHeight="1" x14ac:dyDescent="0.3">
      <c r="A14" t="s">
        <v>48</v>
      </c>
      <c r="B14" t="s">
        <v>45</v>
      </c>
      <c r="C14" t="s">
        <v>342</v>
      </c>
      <c r="D14" t="s">
        <v>14</v>
      </c>
      <c r="E14" t="s">
        <v>28</v>
      </c>
      <c r="F14" t="s">
        <v>29</v>
      </c>
      <c r="G14" t="s">
        <v>17</v>
      </c>
      <c r="H14" t="s">
        <v>49</v>
      </c>
      <c r="I14">
        <v>190</v>
      </c>
      <c r="J14">
        <v>808</v>
      </c>
      <c r="K14" t="s">
        <v>454</v>
      </c>
      <c r="L14" t="s">
        <v>295</v>
      </c>
      <c r="M14" t="s">
        <v>463</v>
      </c>
      <c r="N14" t="s">
        <v>342</v>
      </c>
      <c r="O14" t="s">
        <v>445</v>
      </c>
      <c r="P14" t="s">
        <v>281</v>
      </c>
      <c r="Q14" t="s">
        <v>295</v>
      </c>
      <c r="R14" t="s">
        <v>295</v>
      </c>
      <c r="S14" t="s">
        <v>465</v>
      </c>
    </row>
    <row r="15" spans="1:19" ht="22.95" customHeight="1" x14ac:dyDescent="0.3">
      <c r="A15" t="s">
        <v>50</v>
      </c>
      <c r="B15" t="s">
        <v>45</v>
      </c>
      <c r="C15" t="s">
        <v>342</v>
      </c>
      <c r="D15" t="s">
        <v>14</v>
      </c>
      <c r="E15" t="s">
        <v>28</v>
      </c>
      <c r="F15" t="s">
        <v>29</v>
      </c>
      <c r="G15" t="s">
        <v>17</v>
      </c>
      <c r="H15" t="s">
        <v>51</v>
      </c>
      <c r="I15">
        <v>197</v>
      </c>
      <c r="J15">
        <v>809</v>
      </c>
      <c r="K15" t="s">
        <v>454</v>
      </c>
      <c r="L15" t="s">
        <v>295</v>
      </c>
      <c r="M15" t="s">
        <v>463</v>
      </c>
      <c r="N15" t="s">
        <v>342</v>
      </c>
      <c r="O15" t="s">
        <v>445</v>
      </c>
      <c r="P15" t="s">
        <v>281</v>
      </c>
      <c r="Q15" t="s">
        <v>295</v>
      </c>
      <c r="R15" t="s">
        <v>295</v>
      </c>
      <c r="S15" t="s">
        <v>466</v>
      </c>
    </row>
    <row r="16" spans="1:19" ht="22.95" customHeight="1" x14ac:dyDescent="0.3">
      <c r="A16" t="s">
        <v>52</v>
      </c>
      <c r="B16" t="s">
        <v>45</v>
      </c>
      <c r="C16" t="s">
        <v>342</v>
      </c>
      <c r="D16" t="s">
        <v>14</v>
      </c>
      <c r="E16" t="s">
        <v>28</v>
      </c>
      <c r="F16" t="s">
        <v>29</v>
      </c>
      <c r="G16" t="s">
        <v>17</v>
      </c>
      <c r="H16" t="s">
        <v>53</v>
      </c>
      <c r="I16">
        <v>204</v>
      </c>
      <c r="J16">
        <v>810</v>
      </c>
      <c r="K16" t="s">
        <v>454</v>
      </c>
      <c r="L16" t="s">
        <v>295</v>
      </c>
      <c r="M16" t="s">
        <v>463</v>
      </c>
      <c r="N16" t="s">
        <v>342</v>
      </c>
      <c r="O16" t="s">
        <v>445</v>
      </c>
      <c r="P16" t="s">
        <v>281</v>
      </c>
      <c r="Q16" t="s">
        <v>295</v>
      </c>
      <c r="R16" t="s">
        <v>295</v>
      </c>
      <c r="S16" t="s">
        <v>467</v>
      </c>
    </row>
    <row r="17" spans="1:19" ht="16.5" customHeight="1" x14ac:dyDescent="0.3">
      <c r="A17" t="s">
        <v>55</v>
      </c>
      <c r="B17" t="s">
        <v>54</v>
      </c>
      <c r="C17" t="s">
        <v>342</v>
      </c>
      <c r="D17" t="s">
        <v>14</v>
      </c>
      <c r="E17" t="s">
        <v>28</v>
      </c>
      <c r="F17" t="s">
        <v>57</v>
      </c>
      <c r="G17" t="s">
        <v>17</v>
      </c>
      <c r="H17" t="s">
        <v>56</v>
      </c>
      <c r="I17">
        <v>217</v>
      </c>
      <c r="J17">
        <v>813</v>
      </c>
      <c r="K17" t="s">
        <v>468</v>
      </c>
      <c r="L17" t="s">
        <v>295</v>
      </c>
      <c r="M17" t="s">
        <v>469</v>
      </c>
      <c r="N17" t="s">
        <v>342</v>
      </c>
      <c r="O17" t="s">
        <v>445</v>
      </c>
      <c r="P17" t="s">
        <v>281</v>
      </c>
      <c r="Q17" t="s">
        <v>295</v>
      </c>
      <c r="R17" t="s">
        <v>295</v>
      </c>
      <c r="S17" t="s">
        <v>470</v>
      </c>
    </row>
    <row r="18" spans="1:19" ht="16.5" customHeight="1" x14ac:dyDescent="0.3">
      <c r="A18" t="s">
        <v>58</v>
      </c>
      <c r="B18" t="s">
        <v>54</v>
      </c>
      <c r="C18" t="s">
        <v>342</v>
      </c>
      <c r="D18" t="s">
        <v>14</v>
      </c>
      <c r="E18" t="s">
        <v>28</v>
      </c>
      <c r="F18" t="s">
        <v>57</v>
      </c>
      <c r="G18" t="s">
        <v>17</v>
      </c>
      <c r="H18" t="s">
        <v>59</v>
      </c>
      <c r="I18">
        <v>224</v>
      </c>
      <c r="J18">
        <v>814</v>
      </c>
      <c r="K18" t="s">
        <v>454</v>
      </c>
      <c r="L18" t="s">
        <v>295</v>
      </c>
      <c r="M18" t="s">
        <v>469</v>
      </c>
      <c r="N18" t="s">
        <v>342</v>
      </c>
      <c r="O18" t="s">
        <v>445</v>
      </c>
      <c r="P18" t="s">
        <v>281</v>
      </c>
      <c r="Q18" t="s">
        <v>295</v>
      </c>
      <c r="R18" t="s">
        <v>295</v>
      </c>
      <c r="S18" t="s">
        <v>471</v>
      </c>
    </row>
    <row r="19" spans="1:19" ht="16.5" customHeight="1" x14ac:dyDescent="0.3">
      <c r="A19" t="s">
        <v>60</v>
      </c>
      <c r="B19" t="s">
        <v>54</v>
      </c>
      <c r="C19" t="s">
        <v>342</v>
      </c>
      <c r="D19" t="s">
        <v>14</v>
      </c>
      <c r="E19" t="s">
        <v>28</v>
      </c>
      <c r="F19" t="s">
        <v>57</v>
      </c>
      <c r="G19" t="s">
        <v>17</v>
      </c>
      <c r="H19" t="s">
        <v>61</v>
      </c>
      <c r="I19">
        <v>231</v>
      </c>
      <c r="J19">
        <v>815</v>
      </c>
      <c r="K19" t="s">
        <v>454</v>
      </c>
      <c r="L19" t="s">
        <v>295</v>
      </c>
      <c r="M19" t="s">
        <v>469</v>
      </c>
      <c r="N19" t="s">
        <v>342</v>
      </c>
      <c r="O19" t="s">
        <v>445</v>
      </c>
      <c r="P19" t="s">
        <v>281</v>
      </c>
      <c r="Q19" t="s">
        <v>295</v>
      </c>
      <c r="R19" t="s">
        <v>295</v>
      </c>
      <c r="S19" t="s">
        <v>472</v>
      </c>
    </row>
    <row r="20" spans="1:19" ht="16.5" customHeight="1" x14ac:dyDescent="0.3">
      <c r="A20" t="s">
        <v>62</v>
      </c>
      <c r="B20" t="s">
        <v>54</v>
      </c>
      <c r="C20" t="s">
        <v>342</v>
      </c>
      <c r="D20" t="s">
        <v>14</v>
      </c>
      <c r="E20" t="s">
        <v>28</v>
      </c>
      <c r="F20" t="s">
        <v>57</v>
      </c>
      <c r="G20" t="s">
        <v>17</v>
      </c>
      <c r="H20" t="s">
        <v>63</v>
      </c>
      <c r="I20">
        <v>238</v>
      </c>
      <c r="J20">
        <v>816</v>
      </c>
      <c r="K20" t="s">
        <v>454</v>
      </c>
      <c r="L20" t="s">
        <v>295</v>
      </c>
      <c r="M20" t="s">
        <v>469</v>
      </c>
      <c r="N20" t="s">
        <v>342</v>
      </c>
      <c r="O20" t="s">
        <v>445</v>
      </c>
      <c r="P20" t="s">
        <v>281</v>
      </c>
      <c r="Q20" t="s">
        <v>295</v>
      </c>
      <c r="R20" t="s">
        <v>295</v>
      </c>
      <c r="S20" t="s">
        <v>473</v>
      </c>
    </row>
    <row r="21" spans="1:19" ht="16.5" customHeight="1" x14ac:dyDescent="0.3">
      <c r="A21" t="s">
        <v>64</v>
      </c>
      <c r="B21" t="s">
        <v>54</v>
      </c>
      <c r="C21" t="s">
        <v>342</v>
      </c>
      <c r="D21" t="s">
        <v>14</v>
      </c>
      <c r="E21" t="s">
        <v>28</v>
      </c>
      <c r="F21" t="s">
        <v>57</v>
      </c>
      <c r="G21" t="s">
        <v>17</v>
      </c>
      <c r="H21" t="s">
        <v>65</v>
      </c>
      <c r="I21">
        <v>245</v>
      </c>
      <c r="J21">
        <v>817</v>
      </c>
      <c r="K21" t="s">
        <v>454</v>
      </c>
      <c r="L21" t="s">
        <v>295</v>
      </c>
      <c r="M21" t="s">
        <v>469</v>
      </c>
      <c r="N21" t="s">
        <v>342</v>
      </c>
      <c r="O21" t="s">
        <v>445</v>
      </c>
      <c r="P21" t="s">
        <v>281</v>
      </c>
      <c r="Q21" t="s">
        <v>295</v>
      </c>
      <c r="R21" t="s">
        <v>295</v>
      </c>
      <c r="S21" t="s">
        <v>474</v>
      </c>
    </row>
    <row r="22" spans="1:19" ht="16.5" customHeight="1" x14ac:dyDescent="0.3">
      <c r="A22" t="s">
        <v>66</v>
      </c>
      <c r="B22" t="s">
        <v>54</v>
      </c>
      <c r="C22" t="s">
        <v>342</v>
      </c>
      <c r="D22" t="s">
        <v>14</v>
      </c>
      <c r="E22" t="s">
        <v>28</v>
      </c>
      <c r="F22" t="s">
        <v>57</v>
      </c>
      <c r="G22" t="s">
        <v>17</v>
      </c>
      <c r="H22" t="s">
        <v>67</v>
      </c>
      <c r="I22">
        <v>252</v>
      </c>
      <c r="J22">
        <v>818</v>
      </c>
      <c r="K22" t="s">
        <v>454</v>
      </c>
      <c r="L22" t="s">
        <v>295</v>
      </c>
      <c r="M22" t="s">
        <v>469</v>
      </c>
      <c r="N22" t="s">
        <v>342</v>
      </c>
      <c r="O22" t="s">
        <v>445</v>
      </c>
      <c r="P22" t="s">
        <v>281</v>
      </c>
      <c r="Q22" t="s">
        <v>295</v>
      </c>
      <c r="R22" t="s">
        <v>295</v>
      </c>
      <c r="S22" t="s">
        <v>475</v>
      </c>
    </row>
    <row r="23" spans="1:19" ht="16.5" customHeight="1" x14ac:dyDescent="0.3">
      <c r="A23" t="s">
        <v>68</v>
      </c>
      <c r="B23" t="s">
        <v>54</v>
      </c>
      <c r="C23" t="s">
        <v>342</v>
      </c>
      <c r="D23" t="s">
        <v>14</v>
      </c>
      <c r="E23" t="s">
        <v>28</v>
      </c>
      <c r="F23" t="s">
        <v>57</v>
      </c>
      <c r="G23" t="s">
        <v>17</v>
      </c>
      <c r="H23" t="s">
        <v>69</v>
      </c>
      <c r="I23">
        <v>259</v>
      </c>
      <c r="J23">
        <v>819</v>
      </c>
      <c r="K23" t="s">
        <v>454</v>
      </c>
      <c r="L23" t="s">
        <v>295</v>
      </c>
      <c r="M23" t="s">
        <v>469</v>
      </c>
      <c r="N23" t="s">
        <v>342</v>
      </c>
      <c r="O23" t="s">
        <v>445</v>
      </c>
      <c r="P23" t="s">
        <v>281</v>
      </c>
      <c r="Q23" t="s">
        <v>295</v>
      </c>
      <c r="R23" t="s">
        <v>295</v>
      </c>
      <c r="S23" t="s">
        <v>476</v>
      </c>
    </row>
    <row r="24" spans="1:19" ht="16.5" customHeight="1" x14ac:dyDescent="0.3">
      <c r="A24" t="s">
        <v>71</v>
      </c>
      <c r="B24" t="s">
        <v>70</v>
      </c>
      <c r="C24" t="s">
        <v>342</v>
      </c>
      <c r="D24" t="s">
        <v>14</v>
      </c>
      <c r="E24" t="s">
        <v>28</v>
      </c>
      <c r="F24" t="s">
        <v>57</v>
      </c>
      <c r="G24" t="s">
        <v>17</v>
      </c>
      <c r="H24" t="s">
        <v>72</v>
      </c>
      <c r="I24">
        <v>270</v>
      </c>
      <c r="J24">
        <v>822</v>
      </c>
      <c r="K24" t="s">
        <v>468</v>
      </c>
      <c r="L24" t="s">
        <v>295</v>
      </c>
      <c r="M24" t="s">
        <v>477</v>
      </c>
      <c r="N24" t="s">
        <v>342</v>
      </c>
      <c r="O24" t="s">
        <v>445</v>
      </c>
      <c r="P24" t="s">
        <v>281</v>
      </c>
      <c r="Q24" t="s">
        <v>295</v>
      </c>
      <c r="R24" t="s">
        <v>295</v>
      </c>
      <c r="S24" t="s">
        <v>478</v>
      </c>
    </row>
    <row r="25" spans="1:19" ht="16.5" customHeight="1" x14ac:dyDescent="0.3">
      <c r="A25" t="s">
        <v>73</v>
      </c>
      <c r="B25" t="s">
        <v>70</v>
      </c>
      <c r="C25" t="s">
        <v>342</v>
      </c>
      <c r="D25" t="s">
        <v>14</v>
      </c>
      <c r="E25" t="s">
        <v>28</v>
      </c>
      <c r="F25" t="s">
        <v>57</v>
      </c>
      <c r="G25" t="s">
        <v>17</v>
      </c>
      <c r="H25" t="s">
        <v>74</v>
      </c>
      <c r="I25">
        <v>277</v>
      </c>
      <c r="J25">
        <v>823</v>
      </c>
      <c r="K25" t="s">
        <v>454</v>
      </c>
      <c r="L25" t="s">
        <v>295</v>
      </c>
      <c r="M25" t="s">
        <v>477</v>
      </c>
      <c r="N25" t="s">
        <v>342</v>
      </c>
      <c r="O25" t="s">
        <v>445</v>
      </c>
      <c r="P25" t="s">
        <v>281</v>
      </c>
      <c r="Q25" t="s">
        <v>295</v>
      </c>
      <c r="R25" t="s">
        <v>295</v>
      </c>
      <c r="S25" t="s">
        <v>479</v>
      </c>
    </row>
    <row r="26" spans="1:19" ht="16.5" customHeight="1" x14ac:dyDescent="0.3">
      <c r="A26" t="s">
        <v>75</v>
      </c>
      <c r="B26" t="s">
        <v>70</v>
      </c>
      <c r="C26" t="s">
        <v>342</v>
      </c>
      <c r="D26" t="s">
        <v>14</v>
      </c>
      <c r="E26" t="s">
        <v>28</v>
      </c>
      <c r="F26" t="s">
        <v>57</v>
      </c>
      <c r="G26" t="s">
        <v>17</v>
      </c>
      <c r="H26" t="s">
        <v>76</v>
      </c>
      <c r="I26">
        <v>284</v>
      </c>
      <c r="J26">
        <v>824</v>
      </c>
      <c r="K26" t="s">
        <v>454</v>
      </c>
      <c r="L26" t="s">
        <v>295</v>
      </c>
      <c r="M26" t="s">
        <v>477</v>
      </c>
      <c r="N26" t="s">
        <v>342</v>
      </c>
      <c r="O26" t="s">
        <v>445</v>
      </c>
      <c r="P26" t="s">
        <v>281</v>
      </c>
      <c r="Q26" t="s">
        <v>295</v>
      </c>
      <c r="R26" t="s">
        <v>295</v>
      </c>
      <c r="S26" t="s">
        <v>480</v>
      </c>
    </row>
    <row r="27" spans="1:19" ht="16.5" customHeight="1" x14ac:dyDescent="0.3">
      <c r="A27" t="s">
        <v>77</v>
      </c>
      <c r="B27" t="s">
        <v>70</v>
      </c>
      <c r="C27" t="s">
        <v>342</v>
      </c>
      <c r="D27" t="s">
        <v>14</v>
      </c>
      <c r="E27" t="s">
        <v>28</v>
      </c>
      <c r="F27" t="s">
        <v>57</v>
      </c>
      <c r="G27" t="s">
        <v>17</v>
      </c>
      <c r="H27" t="s">
        <v>78</v>
      </c>
      <c r="I27">
        <v>291</v>
      </c>
      <c r="J27">
        <v>825</v>
      </c>
      <c r="K27" t="s">
        <v>454</v>
      </c>
      <c r="L27" t="s">
        <v>295</v>
      </c>
      <c r="M27" t="s">
        <v>477</v>
      </c>
      <c r="N27" t="s">
        <v>342</v>
      </c>
      <c r="O27" t="s">
        <v>445</v>
      </c>
      <c r="P27" t="s">
        <v>281</v>
      </c>
      <c r="Q27" t="s">
        <v>295</v>
      </c>
      <c r="R27" t="s">
        <v>295</v>
      </c>
      <c r="S27" t="s">
        <v>481</v>
      </c>
    </row>
    <row r="28" spans="1:19" ht="16.5" customHeight="1" x14ac:dyDescent="0.3">
      <c r="A28" t="s">
        <v>79</v>
      </c>
      <c r="B28" t="s">
        <v>70</v>
      </c>
      <c r="C28" t="s">
        <v>342</v>
      </c>
      <c r="D28" t="s">
        <v>14</v>
      </c>
      <c r="E28" t="s">
        <v>28</v>
      </c>
      <c r="F28" t="s">
        <v>57</v>
      </c>
      <c r="G28" t="s">
        <v>17</v>
      </c>
      <c r="H28" t="s">
        <v>80</v>
      </c>
      <c r="I28">
        <v>298</v>
      </c>
      <c r="J28">
        <v>826</v>
      </c>
      <c r="K28" t="s">
        <v>454</v>
      </c>
      <c r="L28" t="s">
        <v>295</v>
      </c>
      <c r="M28" t="s">
        <v>477</v>
      </c>
      <c r="N28" t="s">
        <v>342</v>
      </c>
      <c r="O28" t="s">
        <v>445</v>
      </c>
      <c r="P28" t="s">
        <v>281</v>
      </c>
      <c r="Q28" t="s">
        <v>295</v>
      </c>
      <c r="R28" t="s">
        <v>295</v>
      </c>
      <c r="S28" t="s">
        <v>482</v>
      </c>
    </row>
    <row r="29" spans="1:19" ht="16.5" customHeight="1" x14ac:dyDescent="0.3">
      <c r="A29" t="s">
        <v>81</v>
      </c>
      <c r="B29" t="s">
        <v>70</v>
      </c>
      <c r="C29" t="s">
        <v>342</v>
      </c>
      <c r="D29" t="s">
        <v>14</v>
      </c>
      <c r="E29" t="s">
        <v>28</v>
      </c>
      <c r="F29" t="s">
        <v>57</v>
      </c>
      <c r="G29" t="s">
        <v>17</v>
      </c>
      <c r="H29" t="s">
        <v>82</v>
      </c>
      <c r="I29">
        <v>305</v>
      </c>
      <c r="J29">
        <v>827</v>
      </c>
      <c r="K29" t="s">
        <v>454</v>
      </c>
      <c r="L29" t="s">
        <v>295</v>
      </c>
      <c r="M29" t="s">
        <v>477</v>
      </c>
      <c r="N29" t="s">
        <v>342</v>
      </c>
      <c r="O29" t="s">
        <v>445</v>
      </c>
      <c r="P29" t="s">
        <v>281</v>
      </c>
      <c r="Q29" t="s">
        <v>295</v>
      </c>
      <c r="R29" t="s">
        <v>295</v>
      </c>
      <c r="S29" t="s">
        <v>483</v>
      </c>
    </row>
    <row r="30" spans="1:19" ht="16.5" customHeight="1" x14ac:dyDescent="0.3">
      <c r="A30" t="s">
        <v>83</v>
      </c>
      <c r="B30" t="s">
        <v>70</v>
      </c>
      <c r="C30" t="s">
        <v>342</v>
      </c>
      <c r="D30" t="s">
        <v>14</v>
      </c>
      <c r="E30" t="s">
        <v>28</v>
      </c>
      <c r="F30" t="s">
        <v>57</v>
      </c>
      <c r="G30" t="s">
        <v>17</v>
      </c>
      <c r="H30" t="s">
        <v>84</v>
      </c>
      <c r="I30">
        <v>312</v>
      </c>
      <c r="J30">
        <v>828</v>
      </c>
      <c r="K30" t="s">
        <v>454</v>
      </c>
      <c r="L30" t="s">
        <v>295</v>
      </c>
      <c r="M30" t="s">
        <v>477</v>
      </c>
      <c r="N30" t="s">
        <v>342</v>
      </c>
      <c r="O30" t="s">
        <v>445</v>
      </c>
      <c r="P30" t="s">
        <v>281</v>
      </c>
      <c r="Q30" t="s">
        <v>295</v>
      </c>
      <c r="R30" t="s">
        <v>295</v>
      </c>
      <c r="S30" t="s">
        <v>484</v>
      </c>
    </row>
    <row r="31" spans="1:19" ht="16.5" customHeight="1" x14ac:dyDescent="0.3">
      <c r="A31" t="s">
        <v>86</v>
      </c>
      <c r="B31" t="s">
        <v>85</v>
      </c>
      <c r="C31" t="s">
        <v>342</v>
      </c>
      <c r="D31" t="s">
        <v>14</v>
      </c>
      <c r="E31" t="s">
        <v>28</v>
      </c>
      <c r="F31" t="s">
        <v>57</v>
      </c>
      <c r="G31" t="s">
        <v>17</v>
      </c>
      <c r="H31" t="s">
        <v>87</v>
      </c>
      <c r="I31">
        <v>323</v>
      </c>
      <c r="J31">
        <v>831</v>
      </c>
      <c r="K31" t="s">
        <v>468</v>
      </c>
      <c r="L31" t="s">
        <v>295</v>
      </c>
      <c r="M31" t="s">
        <v>485</v>
      </c>
      <c r="N31" t="s">
        <v>342</v>
      </c>
      <c r="O31" t="s">
        <v>445</v>
      </c>
      <c r="P31" t="s">
        <v>281</v>
      </c>
      <c r="Q31" t="s">
        <v>295</v>
      </c>
      <c r="R31" t="s">
        <v>295</v>
      </c>
      <c r="S31" t="s">
        <v>486</v>
      </c>
    </row>
    <row r="32" spans="1:19" ht="16.5" customHeight="1" x14ac:dyDescent="0.3">
      <c r="A32" t="s">
        <v>88</v>
      </c>
      <c r="B32" t="s">
        <v>85</v>
      </c>
      <c r="C32" t="s">
        <v>342</v>
      </c>
      <c r="D32" t="s">
        <v>14</v>
      </c>
      <c r="E32" t="s">
        <v>28</v>
      </c>
      <c r="F32" t="s">
        <v>57</v>
      </c>
      <c r="G32" t="s">
        <v>17</v>
      </c>
      <c r="H32" t="s">
        <v>89</v>
      </c>
      <c r="I32">
        <v>330</v>
      </c>
      <c r="J32">
        <v>832</v>
      </c>
      <c r="K32" t="s">
        <v>454</v>
      </c>
      <c r="L32" t="s">
        <v>295</v>
      </c>
      <c r="M32" t="s">
        <v>485</v>
      </c>
      <c r="N32" t="s">
        <v>342</v>
      </c>
      <c r="O32" t="s">
        <v>445</v>
      </c>
      <c r="P32" t="s">
        <v>281</v>
      </c>
      <c r="Q32" t="s">
        <v>295</v>
      </c>
      <c r="R32" t="s">
        <v>295</v>
      </c>
      <c r="S32" t="s">
        <v>487</v>
      </c>
    </row>
    <row r="33" spans="1:19" ht="16.5" customHeight="1" x14ac:dyDescent="0.3">
      <c r="A33" t="s">
        <v>90</v>
      </c>
      <c r="B33" t="s">
        <v>85</v>
      </c>
      <c r="C33" t="s">
        <v>342</v>
      </c>
      <c r="D33" t="s">
        <v>14</v>
      </c>
      <c r="E33" t="s">
        <v>28</v>
      </c>
      <c r="F33" t="s">
        <v>57</v>
      </c>
      <c r="G33" t="s">
        <v>17</v>
      </c>
      <c r="H33" t="s">
        <v>91</v>
      </c>
      <c r="I33">
        <v>337</v>
      </c>
      <c r="J33">
        <v>833</v>
      </c>
      <c r="K33" t="s">
        <v>454</v>
      </c>
      <c r="L33" t="s">
        <v>295</v>
      </c>
      <c r="M33" t="s">
        <v>485</v>
      </c>
      <c r="N33" t="s">
        <v>342</v>
      </c>
      <c r="O33" t="s">
        <v>445</v>
      </c>
      <c r="P33" t="s">
        <v>281</v>
      </c>
      <c r="Q33" t="s">
        <v>295</v>
      </c>
      <c r="R33" t="s">
        <v>295</v>
      </c>
      <c r="S33" t="s">
        <v>488</v>
      </c>
    </row>
    <row r="34" spans="1:19" ht="16.5" customHeight="1" x14ac:dyDescent="0.3">
      <c r="A34" t="s">
        <v>92</v>
      </c>
      <c r="B34" t="s">
        <v>85</v>
      </c>
      <c r="C34" t="s">
        <v>342</v>
      </c>
      <c r="D34" t="s">
        <v>14</v>
      </c>
      <c r="E34" t="s">
        <v>28</v>
      </c>
      <c r="F34" t="s">
        <v>57</v>
      </c>
      <c r="G34" t="s">
        <v>17</v>
      </c>
      <c r="H34" t="s">
        <v>93</v>
      </c>
      <c r="I34">
        <v>344</v>
      </c>
      <c r="J34">
        <v>834</v>
      </c>
      <c r="K34" t="s">
        <v>454</v>
      </c>
      <c r="L34" t="s">
        <v>295</v>
      </c>
      <c r="M34" t="s">
        <v>485</v>
      </c>
      <c r="N34" t="s">
        <v>342</v>
      </c>
      <c r="O34" t="s">
        <v>445</v>
      </c>
      <c r="P34" t="s">
        <v>281</v>
      </c>
      <c r="Q34" t="s">
        <v>295</v>
      </c>
      <c r="R34" t="s">
        <v>295</v>
      </c>
      <c r="S34" t="s">
        <v>489</v>
      </c>
    </row>
    <row r="35" spans="1:19" ht="16.5" customHeight="1" x14ac:dyDescent="0.3">
      <c r="A35" t="s">
        <v>94</v>
      </c>
      <c r="B35" t="s">
        <v>85</v>
      </c>
      <c r="C35" t="s">
        <v>342</v>
      </c>
      <c r="D35" t="s">
        <v>14</v>
      </c>
      <c r="E35" t="s">
        <v>28</v>
      </c>
      <c r="F35" t="s">
        <v>57</v>
      </c>
      <c r="G35" t="s">
        <v>17</v>
      </c>
      <c r="H35" t="s">
        <v>95</v>
      </c>
      <c r="I35">
        <v>351</v>
      </c>
      <c r="J35">
        <v>835</v>
      </c>
      <c r="K35" t="s">
        <v>454</v>
      </c>
      <c r="L35" t="s">
        <v>295</v>
      </c>
      <c r="M35" t="s">
        <v>485</v>
      </c>
      <c r="N35" t="s">
        <v>342</v>
      </c>
      <c r="O35" t="s">
        <v>445</v>
      </c>
      <c r="P35" t="s">
        <v>281</v>
      </c>
      <c r="Q35" t="s">
        <v>295</v>
      </c>
      <c r="R35" t="s">
        <v>295</v>
      </c>
      <c r="S35" t="s">
        <v>490</v>
      </c>
    </row>
    <row r="36" spans="1:19" ht="16.5" customHeight="1" x14ac:dyDescent="0.3">
      <c r="A36" t="s">
        <v>96</v>
      </c>
      <c r="B36" t="s">
        <v>85</v>
      </c>
      <c r="C36" t="s">
        <v>342</v>
      </c>
      <c r="D36" t="s">
        <v>14</v>
      </c>
      <c r="E36" t="s">
        <v>28</v>
      </c>
      <c r="F36" t="s">
        <v>57</v>
      </c>
      <c r="G36" t="s">
        <v>17</v>
      </c>
      <c r="H36" t="s">
        <v>97</v>
      </c>
      <c r="I36">
        <v>358</v>
      </c>
      <c r="J36">
        <v>836</v>
      </c>
      <c r="K36" t="s">
        <v>454</v>
      </c>
      <c r="L36" t="s">
        <v>295</v>
      </c>
      <c r="M36" t="s">
        <v>485</v>
      </c>
      <c r="N36" t="s">
        <v>342</v>
      </c>
      <c r="O36" t="s">
        <v>445</v>
      </c>
      <c r="P36" t="s">
        <v>281</v>
      </c>
      <c r="Q36" t="s">
        <v>295</v>
      </c>
      <c r="R36" t="s">
        <v>295</v>
      </c>
      <c r="S36" t="s">
        <v>491</v>
      </c>
    </row>
    <row r="37" spans="1:19" ht="16.5" customHeight="1" x14ac:dyDescent="0.3">
      <c r="A37" t="s">
        <v>98</v>
      </c>
      <c r="B37" t="s">
        <v>85</v>
      </c>
      <c r="C37" t="s">
        <v>342</v>
      </c>
      <c r="D37" t="s">
        <v>14</v>
      </c>
      <c r="E37" t="s">
        <v>28</v>
      </c>
      <c r="F37" t="s">
        <v>57</v>
      </c>
      <c r="G37" t="s">
        <v>17</v>
      </c>
      <c r="H37" t="s">
        <v>99</v>
      </c>
      <c r="I37">
        <v>365</v>
      </c>
      <c r="J37">
        <v>837</v>
      </c>
      <c r="K37" t="s">
        <v>454</v>
      </c>
      <c r="L37" t="s">
        <v>295</v>
      </c>
      <c r="M37" t="s">
        <v>485</v>
      </c>
      <c r="N37" t="s">
        <v>342</v>
      </c>
      <c r="O37" t="s">
        <v>445</v>
      </c>
      <c r="P37" t="s">
        <v>281</v>
      </c>
      <c r="Q37" t="s">
        <v>295</v>
      </c>
      <c r="R37" t="s">
        <v>295</v>
      </c>
      <c r="S37" t="s">
        <v>492</v>
      </c>
    </row>
    <row r="38" spans="1:19" ht="16.5" customHeight="1" x14ac:dyDescent="0.3">
      <c r="A38" t="s">
        <v>101</v>
      </c>
      <c r="B38" t="s">
        <v>100</v>
      </c>
      <c r="C38" t="s">
        <v>342</v>
      </c>
      <c r="D38" t="s">
        <v>14</v>
      </c>
      <c r="E38" t="s">
        <v>28</v>
      </c>
      <c r="F38" t="s">
        <v>103</v>
      </c>
      <c r="G38" t="s">
        <v>17</v>
      </c>
      <c r="H38" t="s">
        <v>102</v>
      </c>
      <c r="I38">
        <v>381</v>
      </c>
      <c r="J38">
        <v>840</v>
      </c>
      <c r="K38" t="s">
        <v>493</v>
      </c>
      <c r="L38" t="s">
        <v>295</v>
      </c>
      <c r="M38" t="s">
        <v>494</v>
      </c>
      <c r="N38" t="s">
        <v>342</v>
      </c>
      <c r="O38" t="s">
        <v>445</v>
      </c>
      <c r="P38" t="s">
        <v>281</v>
      </c>
      <c r="Q38" t="s">
        <v>295</v>
      </c>
      <c r="R38" t="s">
        <v>295</v>
      </c>
      <c r="S38" t="s">
        <v>495</v>
      </c>
    </row>
    <row r="39" spans="1:19" ht="16.5" customHeight="1" x14ac:dyDescent="0.3">
      <c r="A39" t="s">
        <v>104</v>
      </c>
      <c r="B39" t="s">
        <v>100</v>
      </c>
      <c r="C39" t="s">
        <v>342</v>
      </c>
      <c r="D39" t="s">
        <v>14</v>
      </c>
      <c r="E39" t="s">
        <v>28</v>
      </c>
      <c r="F39" t="s">
        <v>103</v>
      </c>
      <c r="G39" t="s">
        <v>17</v>
      </c>
      <c r="H39" t="s">
        <v>105</v>
      </c>
      <c r="I39">
        <v>388</v>
      </c>
      <c r="J39">
        <v>841</v>
      </c>
      <c r="K39" t="s">
        <v>454</v>
      </c>
      <c r="L39" t="s">
        <v>295</v>
      </c>
      <c r="M39" t="s">
        <v>494</v>
      </c>
      <c r="N39" t="s">
        <v>342</v>
      </c>
      <c r="O39" t="s">
        <v>445</v>
      </c>
      <c r="P39" t="s">
        <v>281</v>
      </c>
      <c r="Q39" t="s">
        <v>295</v>
      </c>
      <c r="R39" t="s">
        <v>295</v>
      </c>
      <c r="S39" t="s">
        <v>496</v>
      </c>
    </row>
    <row r="40" spans="1:19" ht="16.5" customHeight="1" x14ac:dyDescent="0.3">
      <c r="A40" t="s">
        <v>106</v>
      </c>
      <c r="B40" t="s">
        <v>100</v>
      </c>
      <c r="C40" t="s">
        <v>342</v>
      </c>
      <c r="D40" t="s">
        <v>14</v>
      </c>
      <c r="E40" t="s">
        <v>28</v>
      </c>
      <c r="F40" t="s">
        <v>103</v>
      </c>
      <c r="G40" t="s">
        <v>17</v>
      </c>
      <c r="H40" t="s">
        <v>107</v>
      </c>
      <c r="I40">
        <v>395</v>
      </c>
      <c r="J40">
        <v>842</v>
      </c>
      <c r="K40" t="s">
        <v>454</v>
      </c>
      <c r="L40" t="s">
        <v>295</v>
      </c>
      <c r="M40" t="s">
        <v>494</v>
      </c>
      <c r="N40" t="s">
        <v>342</v>
      </c>
      <c r="O40" t="s">
        <v>445</v>
      </c>
      <c r="P40" t="s">
        <v>281</v>
      </c>
      <c r="Q40" t="s">
        <v>295</v>
      </c>
      <c r="R40" t="s">
        <v>295</v>
      </c>
      <c r="S40" t="s">
        <v>497</v>
      </c>
    </row>
    <row r="41" spans="1:19" ht="16.5" customHeight="1" x14ac:dyDescent="0.3">
      <c r="A41" t="s">
        <v>108</v>
      </c>
      <c r="B41" t="s">
        <v>100</v>
      </c>
      <c r="C41" t="s">
        <v>342</v>
      </c>
      <c r="D41" t="s">
        <v>14</v>
      </c>
      <c r="E41" t="s">
        <v>28</v>
      </c>
      <c r="F41" t="s">
        <v>103</v>
      </c>
      <c r="G41" t="s">
        <v>17</v>
      </c>
      <c r="H41" t="s">
        <v>109</v>
      </c>
      <c r="I41">
        <v>402</v>
      </c>
      <c r="J41">
        <v>843</v>
      </c>
      <c r="K41" t="s">
        <v>454</v>
      </c>
      <c r="L41" t="s">
        <v>295</v>
      </c>
      <c r="M41" t="s">
        <v>494</v>
      </c>
      <c r="N41" t="s">
        <v>342</v>
      </c>
      <c r="O41" t="s">
        <v>445</v>
      </c>
      <c r="P41" t="s">
        <v>281</v>
      </c>
      <c r="Q41" t="s">
        <v>295</v>
      </c>
      <c r="R41" t="s">
        <v>295</v>
      </c>
      <c r="S41" t="s">
        <v>498</v>
      </c>
    </row>
    <row r="42" spans="1:19" ht="16.5" customHeight="1" x14ac:dyDescent="0.3">
      <c r="A42" t="s">
        <v>111</v>
      </c>
      <c r="B42" t="s">
        <v>110</v>
      </c>
      <c r="C42" t="s">
        <v>342</v>
      </c>
      <c r="D42" t="s">
        <v>14</v>
      </c>
      <c r="E42" t="s">
        <v>28</v>
      </c>
      <c r="F42" t="s">
        <v>103</v>
      </c>
      <c r="G42" t="s">
        <v>17</v>
      </c>
      <c r="H42" t="s">
        <v>112</v>
      </c>
      <c r="I42">
        <v>413</v>
      </c>
      <c r="J42">
        <v>846</v>
      </c>
      <c r="K42" t="s">
        <v>493</v>
      </c>
      <c r="L42" t="s">
        <v>295</v>
      </c>
      <c r="M42" t="s">
        <v>499</v>
      </c>
      <c r="N42" t="s">
        <v>342</v>
      </c>
      <c r="O42" t="s">
        <v>445</v>
      </c>
      <c r="P42" t="s">
        <v>281</v>
      </c>
      <c r="Q42" t="s">
        <v>295</v>
      </c>
      <c r="R42" t="s">
        <v>295</v>
      </c>
      <c r="S42" t="s">
        <v>500</v>
      </c>
    </row>
    <row r="43" spans="1:19" x14ac:dyDescent="0.3">
      <c r="A43" t="s">
        <v>113</v>
      </c>
      <c r="B43" t="s">
        <v>110</v>
      </c>
      <c r="C43" t="s">
        <v>342</v>
      </c>
      <c r="D43" t="s">
        <v>14</v>
      </c>
      <c r="E43" t="s">
        <v>28</v>
      </c>
      <c r="F43" t="s">
        <v>103</v>
      </c>
      <c r="G43" t="s">
        <v>17</v>
      </c>
      <c r="H43" t="s">
        <v>114</v>
      </c>
      <c r="I43">
        <v>420</v>
      </c>
      <c r="J43">
        <v>847</v>
      </c>
      <c r="K43" t="s">
        <v>454</v>
      </c>
      <c r="L43" t="s">
        <v>295</v>
      </c>
      <c r="M43" t="s">
        <v>499</v>
      </c>
      <c r="N43" t="s">
        <v>342</v>
      </c>
      <c r="O43" t="s">
        <v>445</v>
      </c>
      <c r="P43" t="s">
        <v>281</v>
      </c>
      <c r="Q43" t="s">
        <v>295</v>
      </c>
      <c r="R43" t="s">
        <v>295</v>
      </c>
      <c r="S43" t="s">
        <v>501</v>
      </c>
    </row>
    <row r="44" spans="1:19" x14ac:dyDescent="0.3">
      <c r="A44" t="s">
        <v>115</v>
      </c>
      <c r="B44" t="s">
        <v>110</v>
      </c>
      <c r="C44" t="s">
        <v>342</v>
      </c>
      <c r="D44" t="s">
        <v>14</v>
      </c>
      <c r="E44" t="s">
        <v>28</v>
      </c>
      <c r="F44" t="s">
        <v>103</v>
      </c>
      <c r="G44" t="s">
        <v>17</v>
      </c>
      <c r="H44" t="s">
        <v>116</v>
      </c>
      <c r="I44">
        <v>427</v>
      </c>
      <c r="J44">
        <v>848</v>
      </c>
      <c r="K44" t="s">
        <v>454</v>
      </c>
      <c r="L44" t="s">
        <v>295</v>
      </c>
      <c r="M44" t="s">
        <v>499</v>
      </c>
      <c r="N44" t="s">
        <v>342</v>
      </c>
      <c r="O44" t="s">
        <v>445</v>
      </c>
      <c r="P44" t="s">
        <v>281</v>
      </c>
      <c r="Q44" t="s">
        <v>295</v>
      </c>
      <c r="R44" t="s">
        <v>295</v>
      </c>
      <c r="S44" t="s">
        <v>502</v>
      </c>
    </row>
    <row r="45" spans="1:19" x14ac:dyDescent="0.3">
      <c r="A45" t="s">
        <v>117</v>
      </c>
      <c r="B45" t="s">
        <v>110</v>
      </c>
      <c r="C45" t="s">
        <v>342</v>
      </c>
      <c r="D45" t="s">
        <v>14</v>
      </c>
      <c r="E45" t="s">
        <v>28</v>
      </c>
      <c r="F45" t="s">
        <v>103</v>
      </c>
      <c r="G45" t="s">
        <v>17</v>
      </c>
      <c r="H45" t="s">
        <v>118</v>
      </c>
      <c r="I45">
        <v>434</v>
      </c>
      <c r="J45">
        <v>849</v>
      </c>
      <c r="K45" t="s">
        <v>454</v>
      </c>
      <c r="L45" t="s">
        <v>295</v>
      </c>
      <c r="M45" t="s">
        <v>499</v>
      </c>
      <c r="N45" t="s">
        <v>342</v>
      </c>
      <c r="O45" t="s">
        <v>445</v>
      </c>
      <c r="P45" t="s">
        <v>281</v>
      </c>
      <c r="Q45" t="s">
        <v>295</v>
      </c>
      <c r="R45" t="s">
        <v>295</v>
      </c>
      <c r="S45" t="s">
        <v>503</v>
      </c>
    </row>
    <row r="46" spans="1:19" x14ac:dyDescent="0.3">
      <c r="A46" t="s">
        <v>120</v>
      </c>
      <c r="B46" t="s">
        <v>119</v>
      </c>
      <c r="C46" t="s">
        <v>342</v>
      </c>
      <c r="D46" t="s">
        <v>14</v>
      </c>
      <c r="E46" t="s">
        <v>28</v>
      </c>
      <c r="F46" t="s">
        <v>103</v>
      </c>
      <c r="G46" t="s">
        <v>17</v>
      </c>
      <c r="H46" t="s">
        <v>121</v>
      </c>
      <c r="I46">
        <v>445</v>
      </c>
      <c r="J46">
        <v>852</v>
      </c>
      <c r="K46" t="s">
        <v>493</v>
      </c>
      <c r="L46" t="s">
        <v>295</v>
      </c>
      <c r="M46" t="s">
        <v>504</v>
      </c>
      <c r="N46" t="s">
        <v>342</v>
      </c>
      <c r="O46" t="s">
        <v>445</v>
      </c>
      <c r="P46" t="s">
        <v>281</v>
      </c>
      <c r="Q46" t="s">
        <v>295</v>
      </c>
      <c r="R46" t="s">
        <v>295</v>
      </c>
      <c r="S46" t="s">
        <v>505</v>
      </c>
    </row>
    <row r="47" spans="1:19" x14ac:dyDescent="0.3">
      <c r="A47" t="s">
        <v>122</v>
      </c>
      <c r="B47" t="s">
        <v>119</v>
      </c>
      <c r="C47" t="s">
        <v>342</v>
      </c>
      <c r="D47" t="s">
        <v>14</v>
      </c>
      <c r="E47" t="s">
        <v>28</v>
      </c>
      <c r="F47" t="s">
        <v>103</v>
      </c>
      <c r="G47" t="s">
        <v>17</v>
      </c>
      <c r="H47" t="s">
        <v>123</v>
      </c>
      <c r="I47">
        <v>452</v>
      </c>
      <c r="J47">
        <v>853</v>
      </c>
      <c r="K47" t="s">
        <v>454</v>
      </c>
      <c r="L47" t="s">
        <v>295</v>
      </c>
      <c r="M47" t="s">
        <v>504</v>
      </c>
      <c r="N47" t="s">
        <v>342</v>
      </c>
      <c r="O47" t="s">
        <v>445</v>
      </c>
      <c r="P47" t="s">
        <v>281</v>
      </c>
      <c r="Q47" t="s">
        <v>295</v>
      </c>
      <c r="R47" t="s">
        <v>295</v>
      </c>
      <c r="S47" t="s">
        <v>506</v>
      </c>
    </row>
    <row r="48" spans="1:19" x14ac:dyDescent="0.3">
      <c r="A48" t="s">
        <v>124</v>
      </c>
      <c r="B48" t="s">
        <v>119</v>
      </c>
      <c r="C48" t="s">
        <v>342</v>
      </c>
      <c r="D48" t="s">
        <v>14</v>
      </c>
      <c r="E48" t="s">
        <v>28</v>
      </c>
      <c r="F48" t="s">
        <v>103</v>
      </c>
      <c r="G48" t="s">
        <v>17</v>
      </c>
      <c r="H48" t="s">
        <v>125</v>
      </c>
      <c r="I48">
        <v>459</v>
      </c>
      <c r="J48">
        <v>854</v>
      </c>
      <c r="K48" t="s">
        <v>454</v>
      </c>
      <c r="L48" t="s">
        <v>295</v>
      </c>
      <c r="M48" t="s">
        <v>504</v>
      </c>
      <c r="N48" t="s">
        <v>342</v>
      </c>
      <c r="O48" t="s">
        <v>445</v>
      </c>
      <c r="P48" t="s">
        <v>281</v>
      </c>
      <c r="Q48" t="s">
        <v>295</v>
      </c>
      <c r="R48" t="s">
        <v>295</v>
      </c>
      <c r="S48" t="s">
        <v>507</v>
      </c>
    </row>
    <row r="49" spans="1:19" x14ac:dyDescent="0.3">
      <c r="A49" t="s">
        <v>126</v>
      </c>
      <c r="B49" t="s">
        <v>119</v>
      </c>
      <c r="C49" t="s">
        <v>342</v>
      </c>
      <c r="D49" t="s">
        <v>14</v>
      </c>
      <c r="E49" t="s">
        <v>28</v>
      </c>
      <c r="F49" t="s">
        <v>103</v>
      </c>
      <c r="G49" t="s">
        <v>17</v>
      </c>
      <c r="H49" t="s">
        <v>127</v>
      </c>
      <c r="I49">
        <v>466</v>
      </c>
      <c r="J49">
        <v>855</v>
      </c>
      <c r="K49" t="s">
        <v>454</v>
      </c>
      <c r="L49" t="s">
        <v>295</v>
      </c>
      <c r="M49" t="s">
        <v>504</v>
      </c>
      <c r="N49" t="s">
        <v>342</v>
      </c>
      <c r="O49" t="s">
        <v>445</v>
      </c>
      <c r="P49" t="s">
        <v>281</v>
      </c>
      <c r="Q49" t="s">
        <v>295</v>
      </c>
      <c r="R49" t="s">
        <v>295</v>
      </c>
      <c r="S49" t="s">
        <v>508</v>
      </c>
    </row>
    <row r="50" spans="1:19" x14ac:dyDescent="0.3">
      <c r="A50" t="s">
        <v>129</v>
      </c>
      <c r="B50" t="s">
        <v>128</v>
      </c>
      <c r="C50" t="s">
        <v>342</v>
      </c>
      <c r="D50" t="s">
        <v>14</v>
      </c>
      <c r="E50" t="s">
        <v>131</v>
      </c>
      <c r="F50" t="s">
        <v>132</v>
      </c>
      <c r="G50" t="s">
        <v>17</v>
      </c>
      <c r="H50" t="s">
        <v>130</v>
      </c>
      <c r="I50">
        <v>482</v>
      </c>
      <c r="J50">
        <v>858</v>
      </c>
      <c r="K50" t="s">
        <v>509</v>
      </c>
      <c r="L50" t="s">
        <v>295</v>
      </c>
      <c r="M50" t="s">
        <v>510</v>
      </c>
      <c r="N50" t="s">
        <v>342</v>
      </c>
      <c r="O50" t="s">
        <v>445</v>
      </c>
      <c r="P50" t="s">
        <v>281</v>
      </c>
      <c r="Q50" t="s">
        <v>295</v>
      </c>
      <c r="R50" t="s">
        <v>295</v>
      </c>
      <c r="S50" t="s">
        <v>511</v>
      </c>
    </row>
    <row r="51" spans="1:19" x14ac:dyDescent="0.3">
      <c r="A51" t="s">
        <v>133</v>
      </c>
      <c r="B51" t="s">
        <v>128</v>
      </c>
      <c r="C51" t="s">
        <v>342</v>
      </c>
      <c r="D51" t="s">
        <v>14</v>
      </c>
      <c r="E51" t="s">
        <v>131</v>
      </c>
      <c r="F51" t="s">
        <v>132</v>
      </c>
      <c r="G51" t="s">
        <v>17</v>
      </c>
      <c r="H51" t="s">
        <v>134</v>
      </c>
      <c r="I51">
        <v>489</v>
      </c>
      <c r="J51">
        <v>859</v>
      </c>
      <c r="K51" t="s">
        <v>454</v>
      </c>
      <c r="L51" t="s">
        <v>295</v>
      </c>
      <c r="M51" t="s">
        <v>510</v>
      </c>
      <c r="N51" t="s">
        <v>342</v>
      </c>
      <c r="O51" t="s">
        <v>445</v>
      </c>
      <c r="P51" t="s">
        <v>281</v>
      </c>
      <c r="Q51" t="s">
        <v>295</v>
      </c>
      <c r="R51" t="s">
        <v>295</v>
      </c>
      <c r="S51" t="s">
        <v>512</v>
      </c>
    </row>
    <row r="52" spans="1:19" x14ac:dyDescent="0.3">
      <c r="A52" t="s">
        <v>135</v>
      </c>
      <c r="B52" t="s">
        <v>128</v>
      </c>
      <c r="C52" t="s">
        <v>342</v>
      </c>
      <c r="D52" t="s">
        <v>14</v>
      </c>
      <c r="E52" t="s">
        <v>131</v>
      </c>
      <c r="F52" t="s">
        <v>132</v>
      </c>
      <c r="G52" t="s">
        <v>17</v>
      </c>
      <c r="H52" t="s">
        <v>136</v>
      </c>
      <c r="I52">
        <v>497</v>
      </c>
      <c r="J52">
        <v>860</v>
      </c>
      <c r="K52" t="s">
        <v>454</v>
      </c>
      <c r="L52" t="s">
        <v>295</v>
      </c>
      <c r="M52" t="s">
        <v>510</v>
      </c>
      <c r="N52" t="s">
        <v>342</v>
      </c>
      <c r="O52" t="s">
        <v>445</v>
      </c>
      <c r="P52" t="s">
        <v>281</v>
      </c>
      <c r="Q52" t="s">
        <v>295</v>
      </c>
      <c r="R52" t="s">
        <v>295</v>
      </c>
      <c r="S52" t="s">
        <v>513</v>
      </c>
    </row>
    <row r="53" spans="1:19" x14ac:dyDescent="0.3">
      <c r="A53" t="s">
        <v>138</v>
      </c>
      <c r="B53" t="s">
        <v>137</v>
      </c>
      <c r="C53" t="s">
        <v>342</v>
      </c>
      <c r="D53" t="s">
        <v>14</v>
      </c>
      <c r="E53" t="s">
        <v>140</v>
      </c>
      <c r="F53" t="s">
        <v>141</v>
      </c>
      <c r="G53" t="s">
        <v>17</v>
      </c>
      <c r="H53" t="s">
        <v>139</v>
      </c>
      <c r="I53">
        <v>511</v>
      </c>
      <c r="J53">
        <v>863</v>
      </c>
      <c r="K53" t="s">
        <v>514</v>
      </c>
      <c r="L53" t="s">
        <v>295</v>
      </c>
      <c r="M53" t="s">
        <v>515</v>
      </c>
      <c r="N53" t="s">
        <v>342</v>
      </c>
      <c r="O53" t="s">
        <v>445</v>
      </c>
      <c r="P53" t="s">
        <v>281</v>
      </c>
      <c r="Q53" t="s">
        <v>295</v>
      </c>
      <c r="R53" t="s">
        <v>295</v>
      </c>
      <c r="S53" t="s">
        <v>516</v>
      </c>
    </row>
    <row r="54" spans="1:19" x14ac:dyDescent="0.3">
      <c r="A54" t="s">
        <v>142</v>
      </c>
      <c r="B54" t="s">
        <v>137</v>
      </c>
      <c r="C54" t="s">
        <v>342</v>
      </c>
      <c r="D54" t="s">
        <v>14</v>
      </c>
      <c r="E54" t="s">
        <v>140</v>
      </c>
      <c r="F54" t="s">
        <v>141</v>
      </c>
      <c r="G54" t="s">
        <v>17</v>
      </c>
      <c r="H54" t="s">
        <v>143</v>
      </c>
      <c r="I54">
        <v>519</v>
      </c>
      <c r="J54">
        <v>864</v>
      </c>
      <c r="K54" t="s">
        <v>514</v>
      </c>
      <c r="L54" t="s">
        <v>295</v>
      </c>
      <c r="M54" t="s">
        <v>515</v>
      </c>
      <c r="N54" t="s">
        <v>342</v>
      </c>
      <c r="O54" t="s">
        <v>445</v>
      </c>
      <c r="P54" t="s">
        <v>281</v>
      </c>
      <c r="Q54" t="s">
        <v>295</v>
      </c>
      <c r="R54" t="s">
        <v>295</v>
      </c>
      <c r="S54" t="s">
        <v>517</v>
      </c>
    </row>
    <row r="55" spans="1:19" x14ac:dyDescent="0.3">
      <c r="A55" t="s">
        <v>144</v>
      </c>
      <c r="B55" t="s">
        <v>137</v>
      </c>
      <c r="C55" t="s">
        <v>342</v>
      </c>
      <c r="D55" t="s">
        <v>14</v>
      </c>
      <c r="E55" t="s">
        <v>140</v>
      </c>
      <c r="F55" t="s">
        <v>141</v>
      </c>
      <c r="G55" t="s">
        <v>17</v>
      </c>
      <c r="H55" t="s">
        <v>145</v>
      </c>
      <c r="I55">
        <v>527</v>
      </c>
      <c r="J55">
        <v>865</v>
      </c>
      <c r="K55" t="s">
        <v>443</v>
      </c>
      <c r="L55" t="s">
        <v>295</v>
      </c>
      <c r="M55" t="s">
        <v>515</v>
      </c>
      <c r="N55" t="s">
        <v>342</v>
      </c>
      <c r="O55" t="s">
        <v>445</v>
      </c>
      <c r="P55" t="s">
        <v>281</v>
      </c>
      <c r="Q55" t="s">
        <v>295</v>
      </c>
      <c r="R55" t="s">
        <v>295</v>
      </c>
      <c r="S55" t="s">
        <v>518</v>
      </c>
    </row>
    <row r="56" spans="1:19" x14ac:dyDescent="0.3">
      <c r="A56" t="s">
        <v>147</v>
      </c>
      <c r="B56" t="s">
        <v>146</v>
      </c>
      <c r="C56" t="s">
        <v>342</v>
      </c>
      <c r="D56" t="s">
        <v>14</v>
      </c>
      <c r="E56" t="s">
        <v>149</v>
      </c>
      <c r="F56" t="s">
        <v>150</v>
      </c>
      <c r="G56" t="s">
        <v>17</v>
      </c>
      <c r="H56" t="s">
        <v>148</v>
      </c>
      <c r="I56">
        <v>543</v>
      </c>
      <c r="J56">
        <v>868</v>
      </c>
      <c r="K56" t="s">
        <v>443</v>
      </c>
      <c r="L56" t="s">
        <v>295</v>
      </c>
      <c r="M56" t="s">
        <v>519</v>
      </c>
      <c r="N56" t="s">
        <v>342</v>
      </c>
      <c r="O56" t="s">
        <v>445</v>
      </c>
      <c r="P56" t="s">
        <v>281</v>
      </c>
      <c r="Q56" t="s">
        <v>295</v>
      </c>
      <c r="R56" t="s">
        <v>295</v>
      </c>
      <c r="S56" t="s">
        <v>520</v>
      </c>
    </row>
    <row r="57" spans="1:19" x14ac:dyDescent="0.3">
      <c r="A57" t="s">
        <v>151</v>
      </c>
      <c r="B57" t="s">
        <v>146</v>
      </c>
      <c r="C57" t="s">
        <v>342</v>
      </c>
      <c r="D57" t="s">
        <v>14</v>
      </c>
      <c r="E57" t="s">
        <v>149</v>
      </c>
      <c r="F57" t="s">
        <v>150</v>
      </c>
      <c r="G57" t="s">
        <v>17</v>
      </c>
      <c r="H57" t="s">
        <v>152</v>
      </c>
      <c r="I57">
        <v>554</v>
      </c>
      <c r="J57">
        <v>869</v>
      </c>
      <c r="K57" t="s">
        <v>443</v>
      </c>
      <c r="L57" t="s">
        <v>295</v>
      </c>
      <c r="M57" t="s">
        <v>519</v>
      </c>
      <c r="N57" t="s">
        <v>342</v>
      </c>
      <c r="O57" t="s">
        <v>445</v>
      </c>
      <c r="P57" t="s">
        <v>281</v>
      </c>
      <c r="Q57" t="s">
        <v>295</v>
      </c>
      <c r="R57" t="s">
        <v>295</v>
      </c>
      <c r="S57" t="s">
        <v>521</v>
      </c>
    </row>
    <row r="58" spans="1:19" x14ac:dyDescent="0.3">
      <c r="A58" t="s">
        <v>153</v>
      </c>
      <c r="B58" t="s">
        <v>146</v>
      </c>
      <c r="C58" t="s">
        <v>342</v>
      </c>
      <c r="D58" t="s">
        <v>14</v>
      </c>
      <c r="E58" t="s">
        <v>149</v>
      </c>
      <c r="F58" t="s">
        <v>150</v>
      </c>
      <c r="G58" t="s">
        <v>17</v>
      </c>
      <c r="H58" t="s">
        <v>154</v>
      </c>
      <c r="I58">
        <v>568</v>
      </c>
      <c r="J58">
        <v>870</v>
      </c>
      <c r="K58" t="s">
        <v>443</v>
      </c>
      <c r="L58" t="s">
        <v>295</v>
      </c>
      <c r="M58" t="s">
        <v>519</v>
      </c>
      <c r="N58" t="s">
        <v>342</v>
      </c>
      <c r="O58" t="s">
        <v>445</v>
      </c>
      <c r="P58" t="s">
        <v>281</v>
      </c>
      <c r="Q58" t="s">
        <v>295</v>
      </c>
      <c r="R58" t="s">
        <v>295</v>
      </c>
      <c r="S58" t="s">
        <v>522</v>
      </c>
    </row>
    <row r="59" spans="1:19" x14ac:dyDescent="0.3">
      <c r="A59" t="s">
        <v>155</v>
      </c>
      <c r="B59" t="s">
        <v>146</v>
      </c>
      <c r="C59" t="s">
        <v>342</v>
      </c>
      <c r="D59" t="s">
        <v>14</v>
      </c>
      <c r="E59" t="s">
        <v>149</v>
      </c>
      <c r="F59" t="s">
        <v>150</v>
      </c>
      <c r="G59" t="s">
        <v>17</v>
      </c>
      <c r="H59" t="s">
        <v>156</v>
      </c>
      <c r="I59">
        <v>582</v>
      </c>
      <c r="J59">
        <v>871</v>
      </c>
      <c r="K59" t="s">
        <v>443</v>
      </c>
      <c r="L59" t="s">
        <v>295</v>
      </c>
      <c r="M59" t="s">
        <v>519</v>
      </c>
      <c r="N59" t="s">
        <v>342</v>
      </c>
      <c r="O59" t="s">
        <v>445</v>
      </c>
      <c r="P59" t="s">
        <v>281</v>
      </c>
      <c r="Q59" t="s">
        <v>295</v>
      </c>
      <c r="R59" t="s">
        <v>295</v>
      </c>
      <c r="S59" t="s">
        <v>523</v>
      </c>
    </row>
    <row r="60" spans="1:19" x14ac:dyDescent="0.3">
      <c r="A60" t="s">
        <v>158</v>
      </c>
      <c r="B60" t="s">
        <v>157</v>
      </c>
      <c r="C60" t="s">
        <v>349</v>
      </c>
      <c r="D60" t="s">
        <v>14</v>
      </c>
      <c r="E60" t="s">
        <v>160</v>
      </c>
      <c r="F60" t="s">
        <v>161</v>
      </c>
      <c r="G60" t="s">
        <v>17</v>
      </c>
      <c r="H60" t="s">
        <v>159</v>
      </c>
      <c r="I60">
        <v>597</v>
      </c>
      <c r="J60">
        <v>872</v>
      </c>
      <c r="K60" t="s">
        <v>509</v>
      </c>
      <c r="L60" t="s">
        <v>295</v>
      </c>
      <c r="M60" t="s">
        <v>524</v>
      </c>
      <c r="N60" t="s">
        <v>342</v>
      </c>
      <c r="O60" t="s">
        <v>445</v>
      </c>
      <c r="P60" t="s">
        <v>281</v>
      </c>
      <c r="Q60" t="s">
        <v>295</v>
      </c>
      <c r="R60" t="s">
        <v>295</v>
      </c>
      <c r="S60" t="s">
        <v>525</v>
      </c>
    </row>
    <row r="61" spans="1:19" x14ac:dyDescent="0.3">
      <c r="A61" t="s">
        <v>163</v>
      </c>
      <c r="B61" t="s">
        <v>162</v>
      </c>
      <c r="C61" t="s">
        <v>349</v>
      </c>
      <c r="D61" t="s">
        <v>14</v>
      </c>
      <c r="E61" t="s">
        <v>165</v>
      </c>
      <c r="F61" t="s">
        <v>166</v>
      </c>
      <c r="G61" t="s">
        <v>17</v>
      </c>
      <c r="H61" t="s">
        <v>164</v>
      </c>
      <c r="I61">
        <v>611</v>
      </c>
      <c r="J61">
        <v>873</v>
      </c>
      <c r="K61" t="s">
        <v>514</v>
      </c>
      <c r="L61" t="s">
        <v>295</v>
      </c>
      <c r="M61" t="s">
        <v>526</v>
      </c>
      <c r="N61" t="s">
        <v>342</v>
      </c>
      <c r="O61" t="s">
        <v>445</v>
      </c>
      <c r="P61" t="s">
        <v>281</v>
      </c>
      <c r="Q61" t="s">
        <v>295</v>
      </c>
      <c r="R61" t="s">
        <v>295</v>
      </c>
      <c r="S61" t="s">
        <v>527</v>
      </c>
    </row>
    <row r="62" spans="1:19" x14ac:dyDescent="0.3">
      <c r="A62" t="s">
        <v>167</v>
      </c>
      <c r="B62" t="s">
        <v>146</v>
      </c>
      <c r="C62" t="s">
        <v>342</v>
      </c>
      <c r="D62" t="s">
        <v>14</v>
      </c>
      <c r="E62" t="s">
        <v>149</v>
      </c>
      <c r="F62" t="s">
        <v>150</v>
      </c>
      <c r="G62" t="s">
        <v>17</v>
      </c>
      <c r="H62" t="s">
        <v>168</v>
      </c>
      <c r="I62">
        <v>629</v>
      </c>
      <c r="J62">
        <v>874</v>
      </c>
      <c r="K62" t="s">
        <v>443</v>
      </c>
      <c r="L62" t="s">
        <v>295</v>
      </c>
      <c r="M62" t="s">
        <v>519</v>
      </c>
      <c r="N62" t="s">
        <v>342</v>
      </c>
      <c r="O62" t="s">
        <v>445</v>
      </c>
      <c r="P62" t="s">
        <v>281</v>
      </c>
      <c r="Q62" t="s">
        <v>295</v>
      </c>
      <c r="R62" t="s">
        <v>295</v>
      </c>
      <c r="S62" t="s">
        <v>528</v>
      </c>
    </row>
    <row r="63" spans="1:19" x14ac:dyDescent="0.3">
      <c r="A63" t="s">
        <v>170</v>
      </c>
      <c r="B63" t="s">
        <v>169</v>
      </c>
      <c r="C63" t="s">
        <v>317</v>
      </c>
      <c r="D63" t="s">
        <v>14</v>
      </c>
      <c r="E63" t="s">
        <v>172</v>
      </c>
      <c r="F63" t="s">
        <v>173</v>
      </c>
      <c r="G63" t="s">
        <v>17</v>
      </c>
      <c r="H63" t="s">
        <v>171</v>
      </c>
      <c r="I63">
        <v>647</v>
      </c>
      <c r="J63">
        <v>877</v>
      </c>
      <c r="K63" t="s">
        <v>451</v>
      </c>
      <c r="L63" t="s">
        <v>295</v>
      </c>
      <c r="M63" t="s">
        <v>529</v>
      </c>
      <c r="N63" t="s">
        <v>342</v>
      </c>
      <c r="O63" t="s">
        <v>445</v>
      </c>
      <c r="P63" t="s">
        <v>281</v>
      </c>
      <c r="Q63" t="s">
        <v>295</v>
      </c>
      <c r="R63" t="s">
        <v>295</v>
      </c>
      <c r="S63" t="s">
        <v>530</v>
      </c>
    </row>
    <row r="64" spans="1:19" x14ac:dyDescent="0.3">
      <c r="A64" t="s">
        <v>174</v>
      </c>
      <c r="B64" t="s">
        <v>169</v>
      </c>
      <c r="C64" t="s">
        <v>317</v>
      </c>
      <c r="D64" t="s">
        <v>14</v>
      </c>
      <c r="E64" t="s">
        <v>172</v>
      </c>
      <c r="F64" t="s">
        <v>173</v>
      </c>
      <c r="G64" t="s">
        <v>17</v>
      </c>
      <c r="H64" t="s">
        <v>175</v>
      </c>
      <c r="I64">
        <v>656</v>
      </c>
      <c r="J64">
        <v>878</v>
      </c>
      <c r="K64" t="s">
        <v>468</v>
      </c>
      <c r="L64" t="s">
        <v>295</v>
      </c>
      <c r="M64" t="s">
        <v>529</v>
      </c>
      <c r="N64" t="s">
        <v>342</v>
      </c>
      <c r="O64" t="s">
        <v>445</v>
      </c>
      <c r="P64" t="s">
        <v>281</v>
      </c>
      <c r="Q64" t="s">
        <v>295</v>
      </c>
      <c r="R64" t="s">
        <v>295</v>
      </c>
      <c r="S64" t="s">
        <v>531</v>
      </c>
    </row>
    <row r="65" spans="1:19" x14ac:dyDescent="0.3">
      <c r="A65" t="s">
        <v>176</v>
      </c>
      <c r="B65" t="s">
        <v>169</v>
      </c>
      <c r="C65" t="s">
        <v>317</v>
      </c>
      <c r="D65" t="s">
        <v>14</v>
      </c>
      <c r="E65" t="s">
        <v>172</v>
      </c>
      <c r="F65" t="s">
        <v>173</v>
      </c>
      <c r="G65" t="s">
        <v>17</v>
      </c>
      <c r="H65" t="s">
        <v>177</v>
      </c>
      <c r="I65">
        <v>665</v>
      </c>
      <c r="J65">
        <v>879</v>
      </c>
      <c r="K65" t="s">
        <v>493</v>
      </c>
      <c r="L65" t="s">
        <v>295</v>
      </c>
      <c r="M65" t="s">
        <v>529</v>
      </c>
      <c r="N65" t="s">
        <v>342</v>
      </c>
      <c r="O65" t="s">
        <v>445</v>
      </c>
      <c r="P65" t="s">
        <v>281</v>
      </c>
      <c r="Q65" t="s">
        <v>295</v>
      </c>
      <c r="R65" t="s">
        <v>295</v>
      </c>
      <c r="S65" t="s">
        <v>532</v>
      </c>
    </row>
    <row r="66" spans="1:19" x14ac:dyDescent="0.3">
      <c r="A66" t="s">
        <v>178</v>
      </c>
      <c r="B66" t="s">
        <v>169</v>
      </c>
      <c r="C66" t="s">
        <v>317</v>
      </c>
      <c r="D66" t="s">
        <v>14</v>
      </c>
      <c r="E66" t="s">
        <v>172</v>
      </c>
      <c r="F66" t="s">
        <v>173</v>
      </c>
      <c r="G66" t="s">
        <v>17</v>
      </c>
      <c r="H66" t="s">
        <v>179</v>
      </c>
      <c r="I66">
        <v>674</v>
      </c>
      <c r="J66">
        <v>880</v>
      </c>
      <c r="K66" t="s">
        <v>509</v>
      </c>
      <c r="L66" t="s">
        <v>295</v>
      </c>
      <c r="M66" t="s">
        <v>529</v>
      </c>
      <c r="N66" t="s">
        <v>342</v>
      </c>
      <c r="O66" t="s">
        <v>445</v>
      </c>
      <c r="P66" t="s">
        <v>281</v>
      </c>
      <c r="Q66" t="s">
        <v>295</v>
      </c>
      <c r="R66" t="s">
        <v>295</v>
      </c>
      <c r="S66" t="s">
        <v>533</v>
      </c>
    </row>
    <row r="67" spans="1:19" x14ac:dyDescent="0.3">
      <c r="A67" t="s">
        <v>180</v>
      </c>
      <c r="B67" t="s">
        <v>169</v>
      </c>
      <c r="C67" t="s">
        <v>317</v>
      </c>
      <c r="D67" t="s">
        <v>14</v>
      </c>
      <c r="E67" t="s">
        <v>172</v>
      </c>
      <c r="F67" t="s">
        <v>173</v>
      </c>
      <c r="G67" t="s">
        <v>17</v>
      </c>
      <c r="H67" t="s">
        <v>181</v>
      </c>
      <c r="I67">
        <v>683</v>
      </c>
      <c r="J67">
        <v>881</v>
      </c>
      <c r="K67" t="s">
        <v>514</v>
      </c>
      <c r="L67" t="s">
        <v>295</v>
      </c>
      <c r="M67" t="s">
        <v>529</v>
      </c>
      <c r="N67" t="s">
        <v>342</v>
      </c>
      <c r="O67" t="s">
        <v>445</v>
      </c>
      <c r="P67" t="s">
        <v>281</v>
      </c>
      <c r="Q67" t="s">
        <v>295</v>
      </c>
      <c r="R67" t="s">
        <v>295</v>
      </c>
      <c r="S67" t="s">
        <v>534</v>
      </c>
    </row>
    <row r="68" spans="1:19" x14ac:dyDescent="0.3">
      <c r="A68" t="s">
        <v>182</v>
      </c>
      <c r="B68" t="s">
        <v>36</v>
      </c>
      <c r="C68" t="s">
        <v>342</v>
      </c>
      <c r="D68" t="s">
        <v>14</v>
      </c>
      <c r="E68" t="s">
        <v>28</v>
      </c>
      <c r="F68" t="s">
        <v>29</v>
      </c>
      <c r="G68" t="s">
        <v>17</v>
      </c>
      <c r="H68" t="s">
        <v>183</v>
      </c>
      <c r="I68">
        <v>699</v>
      </c>
      <c r="J68">
        <v>884</v>
      </c>
      <c r="K68" t="s">
        <v>454</v>
      </c>
      <c r="L68" t="s">
        <v>295</v>
      </c>
      <c r="M68" t="s">
        <v>458</v>
      </c>
      <c r="N68" t="s">
        <v>342</v>
      </c>
      <c r="O68" t="s">
        <v>445</v>
      </c>
      <c r="P68" t="s">
        <v>281</v>
      </c>
      <c r="Q68" t="s">
        <v>295</v>
      </c>
      <c r="R68" t="s">
        <v>295</v>
      </c>
      <c r="S68" t="s">
        <v>535</v>
      </c>
    </row>
    <row r="69" spans="1:19" x14ac:dyDescent="0.3">
      <c r="A69" t="s">
        <v>184</v>
      </c>
      <c r="B69" t="s">
        <v>36</v>
      </c>
      <c r="C69" t="s">
        <v>342</v>
      </c>
      <c r="D69" t="s">
        <v>14</v>
      </c>
      <c r="E69" t="s">
        <v>28</v>
      </c>
      <c r="F69" t="s">
        <v>29</v>
      </c>
      <c r="G69" t="s">
        <v>17</v>
      </c>
      <c r="H69" t="s">
        <v>185</v>
      </c>
      <c r="I69">
        <v>707</v>
      </c>
      <c r="J69">
        <v>885</v>
      </c>
      <c r="K69" t="s">
        <v>454</v>
      </c>
      <c r="L69" t="s">
        <v>295</v>
      </c>
      <c r="M69" t="s">
        <v>458</v>
      </c>
      <c r="N69" t="s">
        <v>342</v>
      </c>
      <c r="O69" t="s">
        <v>445</v>
      </c>
      <c r="P69" t="s">
        <v>281</v>
      </c>
      <c r="Q69" t="s">
        <v>295</v>
      </c>
      <c r="R69" t="s">
        <v>295</v>
      </c>
      <c r="S69" t="s">
        <v>536</v>
      </c>
    </row>
    <row r="70" spans="1:19" x14ac:dyDescent="0.3">
      <c r="A70" t="s">
        <v>186</v>
      </c>
      <c r="B70" t="s">
        <v>36</v>
      </c>
      <c r="C70" t="s">
        <v>342</v>
      </c>
      <c r="D70" t="s">
        <v>14</v>
      </c>
      <c r="E70" t="s">
        <v>28</v>
      </c>
      <c r="F70" t="s">
        <v>29</v>
      </c>
      <c r="G70" t="s">
        <v>17</v>
      </c>
      <c r="H70" t="s">
        <v>187</v>
      </c>
      <c r="I70">
        <v>715</v>
      </c>
      <c r="J70">
        <v>886</v>
      </c>
      <c r="K70" t="s">
        <v>451</v>
      </c>
      <c r="L70" t="s">
        <v>295</v>
      </c>
      <c r="M70" t="s">
        <v>458</v>
      </c>
      <c r="N70" t="s">
        <v>342</v>
      </c>
      <c r="O70" t="s">
        <v>445</v>
      </c>
      <c r="P70" t="s">
        <v>281</v>
      </c>
      <c r="Q70" t="s">
        <v>295</v>
      </c>
      <c r="R70" t="s">
        <v>295</v>
      </c>
      <c r="S70" t="s">
        <v>537</v>
      </c>
    </row>
    <row r="71" spans="1:19" x14ac:dyDescent="0.3">
      <c r="A71" t="s">
        <v>188</v>
      </c>
      <c r="B71" t="s">
        <v>70</v>
      </c>
      <c r="C71" t="s">
        <v>342</v>
      </c>
      <c r="D71" t="s">
        <v>14</v>
      </c>
      <c r="E71" t="s">
        <v>28</v>
      </c>
      <c r="F71" t="s">
        <v>57</v>
      </c>
      <c r="G71" t="s">
        <v>17</v>
      </c>
      <c r="H71" t="s">
        <v>189</v>
      </c>
      <c r="I71">
        <v>723</v>
      </c>
      <c r="J71">
        <v>887</v>
      </c>
      <c r="K71" t="s">
        <v>468</v>
      </c>
      <c r="L71" t="s">
        <v>295</v>
      </c>
      <c r="M71" t="s">
        <v>477</v>
      </c>
      <c r="N71" t="s">
        <v>342</v>
      </c>
      <c r="O71" t="s">
        <v>445</v>
      </c>
      <c r="P71" t="s">
        <v>281</v>
      </c>
      <c r="Q71" t="s">
        <v>295</v>
      </c>
      <c r="R71" t="s">
        <v>295</v>
      </c>
      <c r="S71" t="s">
        <v>538</v>
      </c>
    </row>
    <row r="72" spans="1:19" x14ac:dyDescent="0.3">
      <c r="A72" t="s">
        <v>190</v>
      </c>
      <c r="B72" t="s">
        <v>119</v>
      </c>
      <c r="C72" t="s">
        <v>342</v>
      </c>
      <c r="D72" t="s">
        <v>14</v>
      </c>
      <c r="E72" t="s">
        <v>28</v>
      </c>
      <c r="F72" t="s">
        <v>103</v>
      </c>
      <c r="G72" t="s">
        <v>17</v>
      </c>
      <c r="H72" t="s">
        <v>191</v>
      </c>
      <c r="I72">
        <v>731</v>
      </c>
      <c r="J72">
        <v>888</v>
      </c>
      <c r="K72" t="s">
        <v>493</v>
      </c>
      <c r="L72" t="s">
        <v>295</v>
      </c>
      <c r="M72" t="s">
        <v>504</v>
      </c>
      <c r="N72" t="s">
        <v>342</v>
      </c>
      <c r="O72" t="s">
        <v>445</v>
      </c>
      <c r="P72" t="s">
        <v>281</v>
      </c>
      <c r="Q72" t="s">
        <v>295</v>
      </c>
      <c r="R72" t="s">
        <v>295</v>
      </c>
      <c r="S72" t="s">
        <v>539</v>
      </c>
    </row>
    <row r="73" spans="1:19" x14ac:dyDescent="0.3">
      <c r="A73" t="s">
        <v>192</v>
      </c>
      <c r="B73" t="s">
        <v>110</v>
      </c>
      <c r="C73" t="s">
        <v>342</v>
      </c>
      <c r="D73" t="s">
        <v>14</v>
      </c>
      <c r="E73" t="s">
        <v>28</v>
      </c>
      <c r="F73" t="s">
        <v>103</v>
      </c>
      <c r="G73" t="s">
        <v>17</v>
      </c>
      <c r="H73" t="s">
        <v>193</v>
      </c>
      <c r="I73">
        <v>739</v>
      </c>
      <c r="J73">
        <v>889</v>
      </c>
      <c r="K73" t="s">
        <v>493</v>
      </c>
      <c r="L73" t="s">
        <v>295</v>
      </c>
      <c r="M73" t="s">
        <v>499</v>
      </c>
      <c r="N73" t="s">
        <v>342</v>
      </c>
      <c r="O73" t="s">
        <v>445</v>
      </c>
      <c r="P73" t="s">
        <v>281</v>
      </c>
      <c r="Q73" t="s">
        <v>295</v>
      </c>
      <c r="R73" t="s">
        <v>295</v>
      </c>
      <c r="S73" t="s">
        <v>540</v>
      </c>
    </row>
    <row r="74" spans="1:19" x14ac:dyDescent="0.3">
      <c r="A74" t="s">
        <v>194</v>
      </c>
      <c r="B74" t="s">
        <v>54</v>
      </c>
      <c r="C74" t="s">
        <v>342</v>
      </c>
      <c r="D74" t="s">
        <v>14</v>
      </c>
      <c r="E74" t="s">
        <v>28</v>
      </c>
      <c r="F74" t="s">
        <v>57</v>
      </c>
      <c r="G74" t="s">
        <v>17</v>
      </c>
      <c r="H74" t="s">
        <v>195</v>
      </c>
      <c r="I74">
        <v>747</v>
      </c>
      <c r="J74">
        <v>890</v>
      </c>
      <c r="K74" t="s">
        <v>468</v>
      </c>
      <c r="L74" t="s">
        <v>295</v>
      </c>
      <c r="M74" t="s">
        <v>469</v>
      </c>
      <c r="N74" t="s">
        <v>342</v>
      </c>
      <c r="O74" t="s">
        <v>445</v>
      </c>
      <c r="P74" t="s">
        <v>281</v>
      </c>
      <c r="Q74" t="s">
        <v>295</v>
      </c>
      <c r="R74" t="s">
        <v>295</v>
      </c>
      <c r="S74" t="s">
        <v>541</v>
      </c>
    </row>
    <row r="75" spans="1:19" x14ac:dyDescent="0.3">
      <c r="A75" t="s">
        <v>196</v>
      </c>
      <c r="B75" t="s">
        <v>128</v>
      </c>
      <c r="C75" t="s">
        <v>342</v>
      </c>
      <c r="D75" t="s">
        <v>14</v>
      </c>
      <c r="E75" t="s">
        <v>131</v>
      </c>
      <c r="F75" t="s">
        <v>132</v>
      </c>
      <c r="G75" t="s">
        <v>17</v>
      </c>
      <c r="H75" t="s">
        <v>197</v>
      </c>
      <c r="I75">
        <v>755</v>
      </c>
      <c r="J75">
        <v>891</v>
      </c>
      <c r="K75" t="s">
        <v>509</v>
      </c>
      <c r="L75" t="s">
        <v>295</v>
      </c>
      <c r="M75" t="s">
        <v>510</v>
      </c>
      <c r="N75" t="s">
        <v>342</v>
      </c>
      <c r="O75" t="s">
        <v>445</v>
      </c>
      <c r="P75" t="s">
        <v>281</v>
      </c>
      <c r="Q75" t="s">
        <v>295</v>
      </c>
      <c r="R75" t="s">
        <v>295</v>
      </c>
      <c r="S75" t="s">
        <v>542</v>
      </c>
    </row>
    <row r="76" spans="1:19" x14ac:dyDescent="0.3">
      <c r="A76" t="s">
        <v>198</v>
      </c>
      <c r="B76" t="s">
        <v>137</v>
      </c>
      <c r="C76" t="s">
        <v>342</v>
      </c>
      <c r="D76" t="s">
        <v>14</v>
      </c>
      <c r="E76" t="s">
        <v>140</v>
      </c>
      <c r="F76" t="s">
        <v>141</v>
      </c>
      <c r="G76" t="s">
        <v>17</v>
      </c>
      <c r="H76" t="s">
        <v>199</v>
      </c>
      <c r="I76">
        <v>763</v>
      </c>
      <c r="J76">
        <v>892</v>
      </c>
      <c r="K76" t="s">
        <v>514</v>
      </c>
      <c r="L76" t="s">
        <v>295</v>
      </c>
      <c r="M76" t="s">
        <v>515</v>
      </c>
      <c r="N76" t="s">
        <v>342</v>
      </c>
      <c r="O76" t="s">
        <v>445</v>
      </c>
      <c r="P76" t="s">
        <v>281</v>
      </c>
      <c r="Q76" t="s">
        <v>295</v>
      </c>
      <c r="R76" t="s">
        <v>295</v>
      </c>
      <c r="S76" t="s">
        <v>543</v>
      </c>
    </row>
    <row r="77" spans="1:19" x14ac:dyDescent="0.3">
      <c r="A77" t="s">
        <v>200</v>
      </c>
      <c r="B77" t="s">
        <v>137</v>
      </c>
      <c r="C77" t="s">
        <v>342</v>
      </c>
      <c r="D77" t="s">
        <v>14</v>
      </c>
      <c r="E77" t="s">
        <v>140</v>
      </c>
      <c r="F77" t="s">
        <v>141</v>
      </c>
      <c r="G77" t="s">
        <v>17</v>
      </c>
      <c r="H77" t="s">
        <v>201</v>
      </c>
      <c r="I77">
        <v>771</v>
      </c>
      <c r="J77">
        <v>893</v>
      </c>
      <c r="K77" t="s">
        <v>514</v>
      </c>
      <c r="L77" t="s">
        <v>295</v>
      </c>
      <c r="M77" t="s">
        <v>515</v>
      </c>
      <c r="N77" t="s">
        <v>342</v>
      </c>
      <c r="O77" t="s">
        <v>445</v>
      </c>
      <c r="P77" t="s">
        <v>281</v>
      </c>
      <c r="Q77" t="s">
        <v>295</v>
      </c>
      <c r="R77" t="s">
        <v>295</v>
      </c>
      <c r="S77" t="s">
        <v>544</v>
      </c>
    </row>
    <row r="78" spans="1:19" x14ac:dyDescent="0.3">
      <c r="A78" t="s">
        <v>202</v>
      </c>
      <c r="B78" t="s">
        <v>10</v>
      </c>
      <c r="C78" t="s">
        <v>317</v>
      </c>
      <c r="D78" t="s">
        <v>14</v>
      </c>
      <c r="E78" t="s">
        <v>13</v>
      </c>
      <c r="F78" t="s">
        <v>15</v>
      </c>
      <c r="G78" t="s">
        <v>204</v>
      </c>
      <c r="H78" t="s">
        <v>203</v>
      </c>
      <c r="I78">
        <v>124</v>
      </c>
      <c r="J78">
        <v>457</v>
      </c>
      <c r="K78" t="s">
        <v>545</v>
      </c>
      <c r="L78" t="s">
        <v>295</v>
      </c>
      <c r="M78" t="s">
        <v>444</v>
      </c>
      <c r="N78" t="s">
        <v>317</v>
      </c>
      <c r="O78" t="s">
        <v>445</v>
      </c>
      <c r="P78" t="s">
        <v>281</v>
      </c>
      <c r="Q78" t="s">
        <v>295</v>
      </c>
      <c r="R78" t="s">
        <v>295</v>
      </c>
      <c r="S78" t="s">
        <v>546</v>
      </c>
    </row>
    <row r="79" spans="1:19" x14ac:dyDescent="0.3">
      <c r="A79" t="s">
        <v>205</v>
      </c>
      <c r="B79" t="s">
        <v>10</v>
      </c>
      <c r="C79" t="s">
        <v>317</v>
      </c>
      <c r="D79" t="s">
        <v>14</v>
      </c>
      <c r="E79" t="s">
        <v>13</v>
      </c>
      <c r="F79" t="s">
        <v>15</v>
      </c>
      <c r="G79" t="s">
        <v>204</v>
      </c>
      <c r="H79" t="s">
        <v>206</v>
      </c>
      <c r="I79">
        <v>132</v>
      </c>
      <c r="J79">
        <v>458</v>
      </c>
      <c r="K79" t="s">
        <v>545</v>
      </c>
      <c r="L79" t="s">
        <v>295</v>
      </c>
      <c r="M79" t="s">
        <v>444</v>
      </c>
      <c r="N79" t="s">
        <v>317</v>
      </c>
      <c r="O79" t="s">
        <v>445</v>
      </c>
      <c r="P79" t="s">
        <v>281</v>
      </c>
      <c r="Q79" t="s">
        <v>295</v>
      </c>
      <c r="R79" t="s">
        <v>295</v>
      </c>
      <c r="S79" t="s">
        <v>547</v>
      </c>
    </row>
    <row r="80" spans="1:19" x14ac:dyDescent="0.3">
      <c r="A80" t="s">
        <v>207</v>
      </c>
      <c r="B80" t="s">
        <v>169</v>
      </c>
      <c r="C80" t="s">
        <v>317</v>
      </c>
      <c r="D80" t="s">
        <v>14</v>
      </c>
      <c r="E80" t="s">
        <v>172</v>
      </c>
      <c r="F80" t="s">
        <v>173</v>
      </c>
      <c r="G80" t="s">
        <v>204</v>
      </c>
      <c r="H80" t="s">
        <v>208</v>
      </c>
      <c r="I80">
        <v>161</v>
      </c>
      <c r="J80">
        <v>461</v>
      </c>
      <c r="K80" t="s">
        <v>548</v>
      </c>
      <c r="L80" t="s">
        <v>295</v>
      </c>
      <c r="M80" t="s">
        <v>529</v>
      </c>
      <c r="N80" t="s">
        <v>317</v>
      </c>
      <c r="O80" t="s">
        <v>445</v>
      </c>
      <c r="P80" t="s">
        <v>281</v>
      </c>
      <c r="Q80" t="s">
        <v>295</v>
      </c>
      <c r="R80" t="s">
        <v>295</v>
      </c>
      <c r="S80" t="s">
        <v>549</v>
      </c>
    </row>
    <row r="81" spans="1:19" x14ac:dyDescent="0.3">
      <c r="A81" t="s">
        <v>210</v>
      </c>
      <c r="B81" t="s">
        <v>209</v>
      </c>
      <c r="C81" t="s">
        <v>317</v>
      </c>
      <c r="D81" t="s">
        <v>14</v>
      </c>
      <c r="E81" t="s">
        <v>172</v>
      </c>
      <c r="F81" t="s">
        <v>173</v>
      </c>
      <c r="G81" t="s">
        <v>204</v>
      </c>
      <c r="H81" t="s">
        <v>208</v>
      </c>
      <c r="I81">
        <v>161</v>
      </c>
      <c r="J81">
        <v>461</v>
      </c>
      <c r="K81" t="s">
        <v>548</v>
      </c>
      <c r="L81" t="s">
        <v>295</v>
      </c>
      <c r="M81" t="s">
        <v>550</v>
      </c>
      <c r="N81" t="s">
        <v>317</v>
      </c>
      <c r="O81" t="s">
        <v>445</v>
      </c>
      <c r="P81" t="s">
        <v>281</v>
      </c>
      <c r="Q81" t="s">
        <v>295</v>
      </c>
      <c r="R81" t="s">
        <v>295</v>
      </c>
      <c r="S81" t="s">
        <v>549</v>
      </c>
    </row>
    <row r="82" spans="1:19" x14ac:dyDescent="0.3">
      <c r="A82" t="s">
        <v>211</v>
      </c>
      <c r="B82" t="s">
        <v>169</v>
      </c>
      <c r="C82" t="s">
        <v>317</v>
      </c>
      <c r="D82" t="s">
        <v>14</v>
      </c>
      <c r="E82" t="s">
        <v>172</v>
      </c>
      <c r="F82" t="s">
        <v>173</v>
      </c>
      <c r="G82" t="s">
        <v>204</v>
      </c>
      <c r="H82" t="s">
        <v>212</v>
      </c>
      <c r="I82">
        <v>168</v>
      </c>
      <c r="J82">
        <v>462</v>
      </c>
      <c r="K82" t="s">
        <v>548</v>
      </c>
      <c r="L82" t="s">
        <v>295</v>
      </c>
      <c r="M82" t="s">
        <v>529</v>
      </c>
      <c r="N82" t="s">
        <v>317</v>
      </c>
      <c r="O82" t="s">
        <v>445</v>
      </c>
      <c r="P82" t="s">
        <v>281</v>
      </c>
      <c r="Q82" t="s">
        <v>295</v>
      </c>
      <c r="R82" t="s">
        <v>295</v>
      </c>
      <c r="S82" t="s">
        <v>551</v>
      </c>
    </row>
    <row r="83" spans="1:19" x14ac:dyDescent="0.3">
      <c r="A83" t="s">
        <v>213</v>
      </c>
      <c r="B83" t="s">
        <v>209</v>
      </c>
      <c r="C83" t="s">
        <v>317</v>
      </c>
      <c r="D83" t="s">
        <v>14</v>
      </c>
      <c r="E83" t="s">
        <v>172</v>
      </c>
      <c r="F83" t="s">
        <v>173</v>
      </c>
      <c r="G83" t="s">
        <v>204</v>
      </c>
      <c r="H83" t="s">
        <v>212</v>
      </c>
      <c r="I83">
        <v>168</v>
      </c>
      <c r="J83">
        <v>462</v>
      </c>
      <c r="K83" t="s">
        <v>548</v>
      </c>
      <c r="L83" t="s">
        <v>295</v>
      </c>
      <c r="M83" t="s">
        <v>550</v>
      </c>
      <c r="N83" t="s">
        <v>317</v>
      </c>
      <c r="O83" t="s">
        <v>445</v>
      </c>
      <c r="P83" t="s">
        <v>281</v>
      </c>
      <c r="Q83" t="s">
        <v>295</v>
      </c>
      <c r="R83" t="s">
        <v>295</v>
      </c>
      <c r="S83" t="s">
        <v>551</v>
      </c>
    </row>
    <row r="84" spans="1:19" x14ac:dyDescent="0.3">
      <c r="A84" t="s">
        <v>214</v>
      </c>
      <c r="B84" t="s">
        <v>169</v>
      </c>
      <c r="C84" t="s">
        <v>317</v>
      </c>
      <c r="D84" t="s">
        <v>14</v>
      </c>
      <c r="E84" t="s">
        <v>172</v>
      </c>
      <c r="F84" t="s">
        <v>173</v>
      </c>
      <c r="G84" t="s">
        <v>204</v>
      </c>
      <c r="H84" t="s">
        <v>215</v>
      </c>
      <c r="I84">
        <v>175</v>
      </c>
      <c r="J84">
        <v>463</v>
      </c>
      <c r="K84" t="s">
        <v>548</v>
      </c>
      <c r="L84" t="s">
        <v>295</v>
      </c>
      <c r="M84" t="s">
        <v>529</v>
      </c>
      <c r="N84" t="s">
        <v>317</v>
      </c>
      <c r="O84" t="s">
        <v>445</v>
      </c>
      <c r="P84" t="s">
        <v>281</v>
      </c>
      <c r="Q84" t="s">
        <v>295</v>
      </c>
      <c r="R84" t="s">
        <v>295</v>
      </c>
      <c r="S84" t="s">
        <v>552</v>
      </c>
    </row>
    <row r="85" spans="1:19" x14ac:dyDescent="0.3">
      <c r="A85" t="s">
        <v>216</v>
      </c>
      <c r="B85" t="s">
        <v>209</v>
      </c>
      <c r="C85" t="s">
        <v>317</v>
      </c>
      <c r="D85" t="s">
        <v>14</v>
      </c>
      <c r="E85" t="s">
        <v>172</v>
      </c>
      <c r="F85" t="s">
        <v>173</v>
      </c>
      <c r="G85" t="s">
        <v>204</v>
      </c>
      <c r="H85" t="s">
        <v>215</v>
      </c>
      <c r="I85">
        <v>175</v>
      </c>
      <c r="J85">
        <v>463</v>
      </c>
      <c r="K85" t="s">
        <v>548</v>
      </c>
      <c r="L85" t="s">
        <v>295</v>
      </c>
      <c r="M85" t="s">
        <v>550</v>
      </c>
      <c r="N85" t="s">
        <v>317</v>
      </c>
      <c r="O85" t="s">
        <v>445</v>
      </c>
      <c r="P85" t="s">
        <v>281</v>
      </c>
      <c r="Q85" t="s">
        <v>295</v>
      </c>
      <c r="R85" t="s">
        <v>295</v>
      </c>
      <c r="S85" t="s">
        <v>552</v>
      </c>
    </row>
    <row r="86" spans="1:19" x14ac:dyDescent="0.3">
      <c r="A86" t="s">
        <v>217</v>
      </c>
      <c r="B86" t="s">
        <v>169</v>
      </c>
      <c r="C86" t="s">
        <v>317</v>
      </c>
      <c r="D86" t="s">
        <v>14</v>
      </c>
      <c r="E86" t="s">
        <v>172</v>
      </c>
      <c r="F86" t="s">
        <v>173</v>
      </c>
      <c r="G86" t="s">
        <v>204</v>
      </c>
      <c r="H86" t="s">
        <v>218</v>
      </c>
      <c r="I86">
        <v>182</v>
      </c>
      <c r="J86">
        <v>464</v>
      </c>
      <c r="K86" t="s">
        <v>548</v>
      </c>
      <c r="L86" t="s">
        <v>295</v>
      </c>
      <c r="M86" t="s">
        <v>529</v>
      </c>
      <c r="N86" t="s">
        <v>317</v>
      </c>
      <c r="O86" t="s">
        <v>445</v>
      </c>
      <c r="P86" t="s">
        <v>281</v>
      </c>
      <c r="Q86" t="s">
        <v>295</v>
      </c>
      <c r="R86" t="s">
        <v>295</v>
      </c>
      <c r="S86" t="s">
        <v>553</v>
      </c>
    </row>
    <row r="87" spans="1:19" x14ac:dyDescent="0.3">
      <c r="A87" t="s">
        <v>219</v>
      </c>
      <c r="B87" t="s">
        <v>209</v>
      </c>
      <c r="C87" t="s">
        <v>317</v>
      </c>
      <c r="D87" t="s">
        <v>14</v>
      </c>
      <c r="E87" t="s">
        <v>172</v>
      </c>
      <c r="F87" t="s">
        <v>173</v>
      </c>
      <c r="G87" t="s">
        <v>204</v>
      </c>
      <c r="H87" t="s">
        <v>218</v>
      </c>
      <c r="I87">
        <v>182</v>
      </c>
      <c r="J87">
        <v>464</v>
      </c>
      <c r="K87" t="s">
        <v>548</v>
      </c>
      <c r="L87" t="s">
        <v>295</v>
      </c>
      <c r="M87" t="s">
        <v>550</v>
      </c>
      <c r="N87" t="s">
        <v>317</v>
      </c>
      <c r="O87" t="s">
        <v>445</v>
      </c>
      <c r="P87" t="s">
        <v>281</v>
      </c>
      <c r="Q87" t="s">
        <v>295</v>
      </c>
      <c r="R87" t="s">
        <v>295</v>
      </c>
      <c r="S87" t="s">
        <v>553</v>
      </c>
    </row>
    <row r="88" spans="1:19" x14ac:dyDescent="0.3">
      <c r="A88" t="s">
        <v>220</v>
      </c>
      <c r="B88" t="s">
        <v>169</v>
      </c>
      <c r="C88" t="s">
        <v>317</v>
      </c>
      <c r="D88" t="s">
        <v>14</v>
      </c>
      <c r="E88" t="s">
        <v>172</v>
      </c>
      <c r="F88" t="s">
        <v>173</v>
      </c>
      <c r="G88" t="s">
        <v>204</v>
      </c>
      <c r="H88" t="s">
        <v>221</v>
      </c>
      <c r="I88">
        <v>189</v>
      </c>
      <c r="J88">
        <v>465</v>
      </c>
      <c r="K88" t="s">
        <v>548</v>
      </c>
      <c r="L88" t="s">
        <v>295</v>
      </c>
      <c r="M88" t="s">
        <v>529</v>
      </c>
      <c r="N88" t="s">
        <v>317</v>
      </c>
      <c r="O88" t="s">
        <v>445</v>
      </c>
      <c r="P88" t="s">
        <v>281</v>
      </c>
      <c r="Q88" t="s">
        <v>295</v>
      </c>
      <c r="R88" t="s">
        <v>295</v>
      </c>
      <c r="S88" t="s">
        <v>554</v>
      </c>
    </row>
    <row r="89" spans="1:19" x14ac:dyDescent="0.3">
      <c r="A89" t="s">
        <v>222</v>
      </c>
      <c r="B89" t="s">
        <v>209</v>
      </c>
      <c r="C89" t="s">
        <v>317</v>
      </c>
      <c r="D89" t="s">
        <v>14</v>
      </c>
      <c r="E89" t="s">
        <v>172</v>
      </c>
      <c r="F89" t="s">
        <v>173</v>
      </c>
      <c r="G89" t="s">
        <v>204</v>
      </c>
      <c r="H89" t="s">
        <v>221</v>
      </c>
      <c r="I89">
        <v>189</v>
      </c>
      <c r="J89">
        <v>465</v>
      </c>
      <c r="K89" t="s">
        <v>548</v>
      </c>
      <c r="L89" t="s">
        <v>295</v>
      </c>
      <c r="M89" t="s">
        <v>550</v>
      </c>
      <c r="N89" t="s">
        <v>317</v>
      </c>
      <c r="O89" t="s">
        <v>445</v>
      </c>
      <c r="P89" t="s">
        <v>281</v>
      </c>
      <c r="Q89" t="s">
        <v>295</v>
      </c>
      <c r="R89" t="s">
        <v>295</v>
      </c>
      <c r="S89" t="s">
        <v>554</v>
      </c>
    </row>
    <row r="90" spans="1:19" x14ac:dyDescent="0.3">
      <c r="A90" t="s">
        <v>223</v>
      </c>
      <c r="B90" t="s">
        <v>169</v>
      </c>
      <c r="C90" t="s">
        <v>317</v>
      </c>
      <c r="D90" t="s">
        <v>14</v>
      </c>
      <c r="E90" t="s">
        <v>172</v>
      </c>
      <c r="F90" t="s">
        <v>173</v>
      </c>
      <c r="G90" t="s">
        <v>204</v>
      </c>
      <c r="H90" t="s">
        <v>224</v>
      </c>
      <c r="I90">
        <v>196</v>
      </c>
      <c r="J90">
        <v>466</v>
      </c>
      <c r="K90" t="s">
        <v>548</v>
      </c>
      <c r="L90" t="s">
        <v>295</v>
      </c>
      <c r="M90" t="s">
        <v>529</v>
      </c>
      <c r="N90" t="s">
        <v>317</v>
      </c>
      <c r="O90" t="s">
        <v>445</v>
      </c>
      <c r="P90" t="s">
        <v>281</v>
      </c>
      <c r="Q90" t="s">
        <v>295</v>
      </c>
      <c r="R90" t="s">
        <v>295</v>
      </c>
      <c r="S90" t="s">
        <v>555</v>
      </c>
    </row>
    <row r="91" spans="1:19" x14ac:dyDescent="0.3">
      <c r="A91" t="s">
        <v>225</v>
      </c>
      <c r="B91" t="s">
        <v>209</v>
      </c>
      <c r="C91" t="s">
        <v>317</v>
      </c>
      <c r="D91" t="s">
        <v>14</v>
      </c>
      <c r="E91" t="s">
        <v>172</v>
      </c>
      <c r="F91" t="s">
        <v>173</v>
      </c>
      <c r="G91" t="s">
        <v>204</v>
      </c>
      <c r="H91" t="s">
        <v>224</v>
      </c>
      <c r="I91">
        <v>196</v>
      </c>
      <c r="J91">
        <v>466</v>
      </c>
      <c r="K91" t="s">
        <v>548</v>
      </c>
      <c r="L91" t="s">
        <v>295</v>
      </c>
      <c r="M91" t="s">
        <v>550</v>
      </c>
      <c r="N91" t="s">
        <v>317</v>
      </c>
      <c r="O91" t="s">
        <v>445</v>
      </c>
      <c r="P91" t="s">
        <v>281</v>
      </c>
      <c r="Q91" t="s">
        <v>295</v>
      </c>
      <c r="R91" t="s">
        <v>295</v>
      </c>
      <c r="S91" t="s">
        <v>555</v>
      </c>
    </row>
    <row r="92" spans="1:19" x14ac:dyDescent="0.3">
      <c r="A92" t="s">
        <v>226</v>
      </c>
      <c r="B92" t="s">
        <v>18</v>
      </c>
      <c r="C92" t="s">
        <v>317</v>
      </c>
      <c r="D92" t="s">
        <v>14</v>
      </c>
      <c r="E92" t="s">
        <v>21</v>
      </c>
      <c r="F92" t="s">
        <v>22</v>
      </c>
      <c r="G92" t="s">
        <v>204</v>
      </c>
      <c r="H92" t="s">
        <v>227</v>
      </c>
      <c r="I92">
        <v>207</v>
      </c>
      <c r="J92">
        <v>469</v>
      </c>
      <c r="K92" t="s">
        <v>447</v>
      </c>
      <c r="L92" t="s">
        <v>295</v>
      </c>
      <c r="M92" t="s">
        <v>448</v>
      </c>
      <c r="N92" t="s">
        <v>317</v>
      </c>
      <c r="O92" t="s">
        <v>445</v>
      </c>
      <c r="P92" t="s">
        <v>281</v>
      </c>
      <c r="Q92" t="s">
        <v>295</v>
      </c>
      <c r="R92" t="s">
        <v>295</v>
      </c>
      <c r="S92" t="s">
        <v>556</v>
      </c>
    </row>
    <row r="93" spans="1:19" x14ac:dyDescent="0.3">
      <c r="A93" t="s">
        <v>228</v>
      </c>
      <c r="B93" t="s">
        <v>18</v>
      </c>
      <c r="C93" t="s">
        <v>317</v>
      </c>
      <c r="D93" t="s">
        <v>14</v>
      </c>
      <c r="E93" t="s">
        <v>21</v>
      </c>
      <c r="F93" t="s">
        <v>22</v>
      </c>
      <c r="G93" t="s">
        <v>204</v>
      </c>
      <c r="H93" t="s">
        <v>229</v>
      </c>
      <c r="I93">
        <v>214</v>
      </c>
      <c r="J93">
        <v>470</v>
      </c>
      <c r="K93" t="s">
        <v>447</v>
      </c>
      <c r="L93" t="s">
        <v>295</v>
      </c>
      <c r="M93" t="s">
        <v>448</v>
      </c>
      <c r="N93" t="s">
        <v>317</v>
      </c>
      <c r="O93" t="s">
        <v>445</v>
      </c>
      <c r="P93" t="s">
        <v>281</v>
      </c>
      <c r="Q93" t="s">
        <v>295</v>
      </c>
      <c r="R93" t="s">
        <v>295</v>
      </c>
      <c r="S93" t="s">
        <v>557</v>
      </c>
    </row>
    <row r="94" spans="1:19" x14ac:dyDescent="0.3">
      <c r="A94" t="s">
        <v>230</v>
      </c>
      <c r="B94" t="s">
        <v>18</v>
      </c>
      <c r="C94" t="s">
        <v>317</v>
      </c>
      <c r="D94" t="s">
        <v>14</v>
      </c>
      <c r="E94" t="s">
        <v>21</v>
      </c>
      <c r="F94" t="s">
        <v>22</v>
      </c>
      <c r="G94" t="s">
        <v>204</v>
      </c>
      <c r="H94" t="s">
        <v>231</v>
      </c>
      <c r="I94">
        <v>225</v>
      </c>
      <c r="J94">
        <v>471</v>
      </c>
      <c r="K94" t="s">
        <v>447</v>
      </c>
      <c r="L94" t="s">
        <v>295</v>
      </c>
      <c r="M94" t="s">
        <v>448</v>
      </c>
      <c r="N94" t="s">
        <v>317</v>
      </c>
      <c r="O94" t="s">
        <v>445</v>
      </c>
      <c r="P94" t="s">
        <v>281</v>
      </c>
      <c r="Q94" t="s">
        <v>295</v>
      </c>
      <c r="R94" t="s">
        <v>295</v>
      </c>
      <c r="S94" t="s">
        <v>558</v>
      </c>
    </row>
    <row r="95" spans="1:19" x14ac:dyDescent="0.3">
      <c r="A95" t="s">
        <v>232</v>
      </c>
      <c r="B95" t="s">
        <v>18</v>
      </c>
      <c r="C95" t="s">
        <v>317</v>
      </c>
      <c r="D95" t="s">
        <v>14</v>
      </c>
      <c r="E95" t="s">
        <v>21</v>
      </c>
      <c r="F95" t="s">
        <v>22</v>
      </c>
      <c r="G95" t="s">
        <v>204</v>
      </c>
      <c r="H95" t="s">
        <v>233</v>
      </c>
      <c r="I95">
        <v>234</v>
      </c>
      <c r="J95">
        <v>472</v>
      </c>
      <c r="K95" t="s">
        <v>548</v>
      </c>
      <c r="L95" t="s">
        <v>295</v>
      </c>
      <c r="M95" t="s">
        <v>448</v>
      </c>
      <c r="N95" t="s">
        <v>317</v>
      </c>
      <c r="O95" t="s">
        <v>445</v>
      </c>
      <c r="P95" t="s">
        <v>281</v>
      </c>
      <c r="Q95" t="s">
        <v>295</v>
      </c>
      <c r="R95" t="s">
        <v>295</v>
      </c>
      <c r="S95" t="s">
        <v>559</v>
      </c>
    </row>
    <row r="96" spans="1:19" x14ac:dyDescent="0.3">
      <c r="A96" t="s">
        <v>234</v>
      </c>
      <c r="B96" t="s">
        <v>18</v>
      </c>
      <c r="C96" t="s">
        <v>317</v>
      </c>
      <c r="D96" t="s">
        <v>14</v>
      </c>
      <c r="E96" t="s">
        <v>21</v>
      </c>
      <c r="F96" t="s">
        <v>22</v>
      </c>
      <c r="G96" t="s">
        <v>204</v>
      </c>
      <c r="H96" t="s">
        <v>235</v>
      </c>
      <c r="I96">
        <v>244</v>
      </c>
      <c r="J96">
        <v>473</v>
      </c>
      <c r="K96" t="s">
        <v>443</v>
      </c>
      <c r="L96" t="s">
        <v>295</v>
      </c>
      <c r="M96" t="s">
        <v>448</v>
      </c>
      <c r="N96" t="s">
        <v>317</v>
      </c>
      <c r="O96" t="s">
        <v>445</v>
      </c>
      <c r="P96" t="s">
        <v>281</v>
      </c>
      <c r="Q96" t="s">
        <v>295</v>
      </c>
      <c r="R96" t="s">
        <v>295</v>
      </c>
      <c r="S96" t="s">
        <v>560</v>
      </c>
    </row>
    <row r="97" spans="1:19" x14ac:dyDescent="0.3">
      <c r="A97" t="s">
        <v>237</v>
      </c>
      <c r="B97" t="s">
        <v>236</v>
      </c>
      <c r="C97" t="s">
        <v>317</v>
      </c>
      <c r="D97" t="s">
        <v>14</v>
      </c>
      <c r="E97" t="s">
        <v>239</v>
      </c>
      <c r="F97" t="s">
        <v>240</v>
      </c>
      <c r="G97" t="s">
        <v>204</v>
      </c>
      <c r="H97" t="s">
        <v>238</v>
      </c>
      <c r="I97">
        <v>266</v>
      </c>
      <c r="J97">
        <v>476</v>
      </c>
      <c r="K97" t="s">
        <v>561</v>
      </c>
      <c r="L97" t="s">
        <v>295</v>
      </c>
      <c r="M97" t="s">
        <v>562</v>
      </c>
      <c r="N97" t="s">
        <v>317</v>
      </c>
      <c r="O97" t="s">
        <v>445</v>
      </c>
      <c r="P97" t="s">
        <v>281</v>
      </c>
      <c r="Q97" t="s">
        <v>295</v>
      </c>
      <c r="R97" t="s">
        <v>295</v>
      </c>
      <c r="S97" t="s">
        <v>563</v>
      </c>
    </row>
    <row r="98" spans="1:19" x14ac:dyDescent="0.3">
      <c r="A98" t="s">
        <v>242</v>
      </c>
      <c r="B98" t="s">
        <v>241</v>
      </c>
      <c r="C98" t="s">
        <v>317</v>
      </c>
      <c r="D98" t="s">
        <v>245</v>
      </c>
      <c r="E98" t="s">
        <v>244</v>
      </c>
      <c r="F98" t="s">
        <v>246</v>
      </c>
      <c r="G98" t="s">
        <v>204</v>
      </c>
      <c r="H98" t="s">
        <v>243</v>
      </c>
      <c r="I98">
        <v>301</v>
      </c>
      <c r="J98">
        <v>479</v>
      </c>
      <c r="K98" t="s">
        <v>564</v>
      </c>
      <c r="L98" t="s">
        <v>295</v>
      </c>
      <c r="M98" t="s">
        <v>565</v>
      </c>
      <c r="N98" t="s">
        <v>317</v>
      </c>
      <c r="O98" t="s">
        <v>445</v>
      </c>
      <c r="P98" t="s">
        <v>281</v>
      </c>
      <c r="Q98" t="s">
        <v>295</v>
      </c>
      <c r="R98" t="s">
        <v>295</v>
      </c>
      <c r="S98" t="s">
        <v>566</v>
      </c>
    </row>
    <row r="99" spans="1:19" x14ac:dyDescent="0.3">
      <c r="A99" t="s">
        <v>247</v>
      </c>
      <c r="B99" t="s">
        <v>241</v>
      </c>
      <c r="C99" t="s">
        <v>317</v>
      </c>
      <c r="D99" t="s">
        <v>245</v>
      </c>
      <c r="E99" t="s">
        <v>244</v>
      </c>
      <c r="F99" t="s">
        <v>246</v>
      </c>
      <c r="G99" t="s">
        <v>204</v>
      </c>
      <c r="H99" t="s">
        <v>248</v>
      </c>
      <c r="I99">
        <v>307</v>
      </c>
      <c r="J99">
        <v>480</v>
      </c>
      <c r="K99" t="s">
        <v>564</v>
      </c>
      <c r="L99" t="s">
        <v>295</v>
      </c>
      <c r="M99" t="s">
        <v>565</v>
      </c>
      <c r="N99" t="s">
        <v>317</v>
      </c>
      <c r="O99" t="s">
        <v>445</v>
      </c>
      <c r="P99" t="s">
        <v>281</v>
      </c>
      <c r="Q99" t="s">
        <v>295</v>
      </c>
      <c r="R99" t="s">
        <v>295</v>
      </c>
      <c r="S99" t="s">
        <v>567</v>
      </c>
    </row>
    <row r="100" spans="1:19" x14ac:dyDescent="0.3">
      <c r="A100" t="s">
        <v>249</v>
      </c>
      <c r="B100" t="s">
        <v>241</v>
      </c>
      <c r="C100" t="s">
        <v>317</v>
      </c>
      <c r="D100" t="s">
        <v>245</v>
      </c>
      <c r="E100" t="s">
        <v>244</v>
      </c>
      <c r="F100" t="s">
        <v>246</v>
      </c>
      <c r="G100" t="s">
        <v>204</v>
      </c>
      <c r="H100" t="s">
        <v>250</v>
      </c>
      <c r="I100">
        <v>313</v>
      </c>
      <c r="J100">
        <v>481</v>
      </c>
      <c r="K100" t="s">
        <v>568</v>
      </c>
      <c r="L100" t="s">
        <v>295</v>
      </c>
      <c r="M100" t="s">
        <v>565</v>
      </c>
      <c r="N100" t="s">
        <v>317</v>
      </c>
      <c r="O100" t="s">
        <v>445</v>
      </c>
      <c r="P100" t="s">
        <v>281</v>
      </c>
      <c r="Q100" t="s">
        <v>295</v>
      </c>
      <c r="R100" t="s">
        <v>295</v>
      </c>
      <c r="S100" t="s">
        <v>569</v>
      </c>
    </row>
    <row r="101" spans="1:19" x14ac:dyDescent="0.3">
      <c r="A101" t="s">
        <v>251</v>
      </c>
      <c r="B101" t="s">
        <v>241</v>
      </c>
      <c r="C101" t="s">
        <v>317</v>
      </c>
      <c r="D101" t="s">
        <v>245</v>
      </c>
      <c r="E101" t="s">
        <v>244</v>
      </c>
      <c r="F101" t="s">
        <v>246</v>
      </c>
      <c r="G101" t="s">
        <v>204</v>
      </c>
      <c r="H101" t="s">
        <v>252</v>
      </c>
      <c r="I101">
        <v>319</v>
      </c>
      <c r="J101">
        <v>482</v>
      </c>
      <c r="K101" t="s">
        <v>568</v>
      </c>
      <c r="L101" t="s">
        <v>295</v>
      </c>
      <c r="M101" t="s">
        <v>565</v>
      </c>
      <c r="N101" t="s">
        <v>317</v>
      </c>
      <c r="O101" t="s">
        <v>445</v>
      </c>
      <c r="P101" t="s">
        <v>281</v>
      </c>
      <c r="Q101" t="s">
        <v>295</v>
      </c>
      <c r="R101" t="s">
        <v>295</v>
      </c>
      <c r="S101" t="s">
        <v>570</v>
      </c>
    </row>
    <row r="102" spans="1:19" x14ac:dyDescent="0.3">
      <c r="A102" t="s">
        <v>253</v>
      </c>
      <c r="B102" t="s">
        <v>241</v>
      </c>
      <c r="C102" t="s">
        <v>317</v>
      </c>
      <c r="D102" t="s">
        <v>245</v>
      </c>
      <c r="E102" t="s">
        <v>244</v>
      </c>
      <c r="F102" t="s">
        <v>246</v>
      </c>
      <c r="G102" t="s">
        <v>204</v>
      </c>
      <c r="H102" t="s">
        <v>254</v>
      </c>
      <c r="I102">
        <v>329</v>
      </c>
      <c r="J102">
        <v>483</v>
      </c>
      <c r="K102" t="s">
        <v>568</v>
      </c>
      <c r="L102" t="s">
        <v>295</v>
      </c>
      <c r="M102" t="s">
        <v>565</v>
      </c>
      <c r="N102" t="s">
        <v>317</v>
      </c>
      <c r="O102" t="s">
        <v>445</v>
      </c>
      <c r="P102" t="s">
        <v>281</v>
      </c>
      <c r="Q102" t="s">
        <v>295</v>
      </c>
      <c r="R102" t="s">
        <v>295</v>
      </c>
      <c r="S102" t="s">
        <v>571</v>
      </c>
    </row>
    <row r="103" spans="1:19" x14ac:dyDescent="0.3">
      <c r="A103" t="s">
        <v>255</v>
      </c>
      <c r="B103" t="s">
        <v>241</v>
      </c>
      <c r="C103" t="s">
        <v>317</v>
      </c>
      <c r="D103" t="s">
        <v>245</v>
      </c>
      <c r="E103" t="s">
        <v>244</v>
      </c>
      <c r="F103" t="s">
        <v>246</v>
      </c>
      <c r="G103" t="s">
        <v>204</v>
      </c>
      <c r="H103" t="s">
        <v>256</v>
      </c>
      <c r="I103">
        <v>335</v>
      </c>
      <c r="J103">
        <v>484</v>
      </c>
      <c r="K103" t="s">
        <v>568</v>
      </c>
      <c r="L103" t="s">
        <v>295</v>
      </c>
      <c r="M103" t="s">
        <v>565</v>
      </c>
      <c r="N103" t="s">
        <v>317</v>
      </c>
      <c r="O103" t="s">
        <v>445</v>
      </c>
      <c r="P103" t="s">
        <v>281</v>
      </c>
      <c r="Q103" t="s">
        <v>295</v>
      </c>
      <c r="R103" t="s">
        <v>295</v>
      </c>
      <c r="S103" t="s">
        <v>572</v>
      </c>
    </row>
    <row r="104" spans="1:19" x14ac:dyDescent="0.3">
      <c r="A104" t="s">
        <v>258</v>
      </c>
      <c r="B104" t="s">
        <v>257</v>
      </c>
      <c r="C104" t="s">
        <v>317</v>
      </c>
      <c r="D104" t="s">
        <v>14</v>
      </c>
      <c r="E104" t="s">
        <v>260</v>
      </c>
      <c r="F104" t="s">
        <v>261</v>
      </c>
      <c r="G104" t="s">
        <v>204</v>
      </c>
      <c r="H104" t="s">
        <v>259</v>
      </c>
      <c r="I104">
        <v>349</v>
      </c>
      <c r="J104">
        <v>487</v>
      </c>
      <c r="K104" t="s">
        <v>564</v>
      </c>
      <c r="L104" t="s">
        <v>295</v>
      </c>
      <c r="M104" t="s">
        <v>573</v>
      </c>
      <c r="N104" t="s">
        <v>317</v>
      </c>
      <c r="O104" t="s">
        <v>445</v>
      </c>
      <c r="P104" t="s">
        <v>281</v>
      </c>
      <c r="Q104" t="s">
        <v>295</v>
      </c>
      <c r="R104" t="s">
        <v>295</v>
      </c>
      <c r="S104" t="s">
        <v>574</v>
      </c>
    </row>
    <row r="105" spans="1:19" x14ac:dyDescent="0.3">
      <c r="A105" t="s">
        <v>262</v>
      </c>
      <c r="B105" t="s">
        <v>257</v>
      </c>
      <c r="C105" t="s">
        <v>317</v>
      </c>
      <c r="D105" t="s">
        <v>14</v>
      </c>
      <c r="E105" t="s">
        <v>260</v>
      </c>
      <c r="F105" t="s">
        <v>261</v>
      </c>
      <c r="G105" t="s">
        <v>204</v>
      </c>
      <c r="H105" t="s">
        <v>263</v>
      </c>
      <c r="I105">
        <v>372</v>
      </c>
      <c r="J105">
        <v>488</v>
      </c>
      <c r="K105" t="s">
        <v>564</v>
      </c>
      <c r="L105" t="s">
        <v>295</v>
      </c>
      <c r="M105" t="s">
        <v>573</v>
      </c>
      <c r="N105" t="s">
        <v>317</v>
      </c>
      <c r="O105" t="s">
        <v>445</v>
      </c>
      <c r="P105" t="s">
        <v>281</v>
      </c>
      <c r="Q105" t="s">
        <v>295</v>
      </c>
      <c r="R105" t="s">
        <v>295</v>
      </c>
      <c r="S105" t="s">
        <v>575</v>
      </c>
    </row>
    <row r="106" spans="1:19" x14ac:dyDescent="0.3">
      <c r="A106" t="s">
        <v>265</v>
      </c>
      <c r="B106" t="s">
        <v>264</v>
      </c>
      <c r="C106" t="s">
        <v>317</v>
      </c>
      <c r="D106" t="s">
        <v>14</v>
      </c>
      <c r="E106" t="s">
        <v>239</v>
      </c>
      <c r="F106" t="s">
        <v>240</v>
      </c>
      <c r="G106" t="s">
        <v>204</v>
      </c>
      <c r="H106" t="s">
        <v>266</v>
      </c>
      <c r="I106">
        <v>404</v>
      </c>
      <c r="J106">
        <v>491</v>
      </c>
      <c r="K106" t="s">
        <v>576</v>
      </c>
      <c r="L106" t="s">
        <v>295</v>
      </c>
      <c r="M106" t="s">
        <v>577</v>
      </c>
      <c r="N106" t="s">
        <v>317</v>
      </c>
      <c r="O106" t="s">
        <v>445</v>
      </c>
      <c r="P106" t="s">
        <v>281</v>
      </c>
      <c r="Q106" t="s">
        <v>295</v>
      </c>
      <c r="R106" t="s">
        <v>295</v>
      </c>
      <c r="S106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6"/>
  <sheetViews>
    <sheetView topLeftCell="A61" workbookViewId="0">
      <selection activeCell="J72" sqref="J72"/>
    </sheetView>
  </sheetViews>
  <sheetFormatPr defaultRowHeight="14.4" x14ac:dyDescent="0.3"/>
  <cols>
    <col min="1" max="1" width="14" customWidth="1"/>
    <col min="2" max="2" width="11.5546875" customWidth="1"/>
    <col min="3" max="3" width="55.88671875" customWidth="1"/>
    <col min="4" max="4" width="57.109375" bestFit="1" customWidth="1"/>
    <col min="5" max="5" width="30.5546875" customWidth="1"/>
    <col min="6" max="7" width="18" customWidth="1"/>
    <col min="8" max="8" width="40.33203125" bestFit="1" customWidth="1"/>
    <col min="9" max="9" width="12.5546875" customWidth="1"/>
    <col min="10" max="10" width="22" customWidth="1"/>
  </cols>
  <sheetData>
    <row r="1" spans="1:19" ht="20.399999999999999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/>
      <c r="L1" s="6"/>
      <c r="M1" s="6"/>
      <c r="N1" s="6"/>
      <c r="O1" s="6"/>
      <c r="P1" s="6"/>
      <c r="Q1" s="6"/>
      <c r="R1" s="6"/>
      <c r="S1" s="6"/>
    </row>
    <row r="2" spans="1:19" ht="16.5" customHeight="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4">
        <v>80</v>
      </c>
      <c r="J2" s="4"/>
    </row>
    <row r="3" spans="1:19" ht="16.5" customHeight="1" x14ac:dyDescent="0.3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17</v>
      </c>
      <c r="I3" s="4">
        <v>88</v>
      </c>
      <c r="J3" s="4"/>
    </row>
    <row r="4" spans="1:19" ht="16.5" customHeight="1" x14ac:dyDescent="0.3">
      <c r="A4" t="s">
        <v>18</v>
      </c>
      <c r="B4" t="s">
        <v>23</v>
      </c>
      <c r="C4" t="s">
        <v>24</v>
      </c>
      <c r="D4" t="s">
        <v>21</v>
      </c>
      <c r="E4" t="s">
        <v>14</v>
      </c>
      <c r="F4" t="s">
        <v>22</v>
      </c>
      <c r="G4" t="s">
        <v>16</v>
      </c>
      <c r="H4" t="s">
        <v>17</v>
      </c>
      <c r="I4" s="4">
        <v>95</v>
      </c>
      <c r="J4" s="4"/>
    </row>
    <row r="5" spans="1:19" ht="16.5" customHeight="1" x14ac:dyDescent="0.3">
      <c r="A5" t="s">
        <v>25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 t="s">
        <v>16</v>
      </c>
      <c r="H5" t="s">
        <v>17</v>
      </c>
      <c r="I5" s="4">
        <v>115</v>
      </c>
      <c r="J5" s="4"/>
    </row>
    <row r="6" spans="1:19" ht="16.5" customHeight="1" x14ac:dyDescent="0.3">
      <c r="A6" t="s">
        <v>25</v>
      </c>
      <c r="B6" t="s">
        <v>30</v>
      </c>
      <c r="C6" t="s">
        <v>31</v>
      </c>
      <c r="D6" t="s">
        <v>28</v>
      </c>
      <c r="E6" t="s">
        <v>14</v>
      </c>
      <c r="F6" t="s">
        <v>29</v>
      </c>
      <c r="G6" t="s">
        <v>16</v>
      </c>
      <c r="H6" t="s">
        <v>17</v>
      </c>
      <c r="I6" s="4">
        <v>123</v>
      </c>
      <c r="J6" s="4"/>
    </row>
    <row r="7" spans="1:19" ht="16.5" customHeight="1" x14ac:dyDescent="0.3">
      <c r="A7" t="s">
        <v>25</v>
      </c>
      <c r="B7" t="s">
        <v>32</v>
      </c>
      <c r="C7" t="s">
        <v>33</v>
      </c>
      <c r="D7" t="s">
        <v>28</v>
      </c>
      <c r="E7" t="s">
        <v>14</v>
      </c>
      <c r="F7" t="s">
        <v>29</v>
      </c>
      <c r="G7" t="s">
        <v>16</v>
      </c>
      <c r="H7" t="s">
        <v>17</v>
      </c>
      <c r="I7" s="4">
        <v>132</v>
      </c>
      <c r="J7" s="4"/>
    </row>
    <row r="8" spans="1:19" ht="16.5" customHeight="1" x14ac:dyDescent="0.3">
      <c r="A8" t="s">
        <v>25</v>
      </c>
      <c r="B8" t="s">
        <v>34</v>
      </c>
      <c r="C8" t="s">
        <v>35</v>
      </c>
      <c r="D8" t="s">
        <v>28</v>
      </c>
      <c r="E8" t="s">
        <v>14</v>
      </c>
      <c r="F8" t="s">
        <v>29</v>
      </c>
      <c r="G8" t="s">
        <v>16</v>
      </c>
      <c r="H8" t="s">
        <v>17</v>
      </c>
      <c r="I8" s="4">
        <v>140</v>
      </c>
      <c r="J8" s="4"/>
    </row>
    <row r="9" spans="1:19" ht="16.5" customHeight="1" x14ac:dyDescent="0.3">
      <c r="A9" t="s">
        <v>36</v>
      </c>
      <c r="B9" t="s">
        <v>37</v>
      </c>
      <c r="C9" t="s">
        <v>38</v>
      </c>
      <c r="D9" t="s">
        <v>28</v>
      </c>
      <c r="E9" t="s">
        <v>14</v>
      </c>
      <c r="F9" t="s">
        <v>29</v>
      </c>
      <c r="G9" t="s">
        <v>16</v>
      </c>
      <c r="H9" t="s">
        <v>17</v>
      </c>
      <c r="I9" s="4">
        <v>151</v>
      </c>
      <c r="J9" s="4"/>
    </row>
    <row r="10" spans="1:19" ht="16.5" customHeight="1" x14ac:dyDescent="0.3">
      <c r="A10" t="s">
        <v>36</v>
      </c>
      <c r="B10" t="s">
        <v>39</v>
      </c>
      <c r="C10" t="s">
        <v>40</v>
      </c>
      <c r="D10" t="s">
        <v>28</v>
      </c>
      <c r="E10" t="s">
        <v>14</v>
      </c>
      <c r="F10" t="s">
        <v>29</v>
      </c>
      <c r="G10" t="s">
        <v>16</v>
      </c>
      <c r="H10" t="s">
        <v>17</v>
      </c>
      <c r="I10" s="4">
        <v>158</v>
      </c>
      <c r="J10" s="4"/>
    </row>
    <row r="11" spans="1:19" ht="16.5" customHeight="1" x14ac:dyDescent="0.3">
      <c r="A11" t="s">
        <v>36</v>
      </c>
      <c r="B11" t="s">
        <v>41</v>
      </c>
      <c r="C11" t="s">
        <v>42</v>
      </c>
      <c r="D11" t="s">
        <v>28</v>
      </c>
      <c r="E11" t="s">
        <v>14</v>
      </c>
      <c r="F11" t="s">
        <v>29</v>
      </c>
      <c r="G11" t="s">
        <v>16</v>
      </c>
      <c r="H11" t="s">
        <v>17</v>
      </c>
      <c r="I11" s="4">
        <v>165</v>
      </c>
      <c r="J11" s="4"/>
    </row>
    <row r="12" spans="1:19" ht="16.5" customHeight="1" x14ac:dyDescent="0.3">
      <c r="A12" t="s">
        <v>36</v>
      </c>
      <c r="B12" t="s">
        <v>43</v>
      </c>
      <c r="C12" t="s">
        <v>44</v>
      </c>
      <c r="D12" t="s">
        <v>28</v>
      </c>
      <c r="E12" t="s">
        <v>14</v>
      </c>
      <c r="F12" t="s">
        <v>29</v>
      </c>
      <c r="G12" t="s">
        <v>16</v>
      </c>
      <c r="H12" t="s">
        <v>17</v>
      </c>
      <c r="I12" s="4">
        <v>172</v>
      </c>
      <c r="J12" s="4"/>
    </row>
    <row r="13" spans="1:19" ht="16.5" customHeight="1" x14ac:dyDescent="0.3">
      <c r="A13" t="s">
        <v>45</v>
      </c>
      <c r="B13" t="s">
        <v>46</v>
      </c>
      <c r="C13" t="s">
        <v>47</v>
      </c>
      <c r="D13" t="s">
        <v>28</v>
      </c>
      <c r="E13" t="s">
        <v>14</v>
      </c>
      <c r="F13" t="s">
        <v>29</v>
      </c>
      <c r="G13" t="s">
        <v>16</v>
      </c>
      <c r="H13" t="s">
        <v>17</v>
      </c>
      <c r="I13" s="4">
        <v>183</v>
      </c>
      <c r="J13" s="4"/>
    </row>
    <row r="14" spans="1:19" ht="16.5" customHeight="1" x14ac:dyDescent="0.3">
      <c r="A14" t="s">
        <v>45</v>
      </c>
      <c r="B14" t="s">
        <v>48</v>
      </c>
      <c r="C14" t="s">
        <v>49</v>
      </c>
      <c r="D14" t="s">
        <v>28</v>
      </c>
      <c r="E14" t="s">
        <v>14</v>
      </c>
      <c r="F14" t="s">
        <v>29</v>
      </c>
      <c r="G14" t="s">
        <v>16</v>
      </c>
      <c r="H14" t="s">
        <v>17</v>
      </c>
      <c r="I14" s="4">
        <v>190</v>
      </c>
      <c r="J14" s="4"/>
    </row>
    <row r="15" spans="1:19" ht="16.5" customHeight="1" x14ac:dyDescent="0.3">
      <c r="A15" t="s">
        <v>45</v>
      </c>
      <c r="B15" t="s">
        <v>50</v>
      </c>
      <c r="C15" t="s">
        <v>51</v>
      </c>
      <c r="D15" t="s">
        <v>28</v>
      </c>
      <c r="E15" t="s">
        <v>14</v>
      </c>
      <c r="F15" t="s">
        <v>29</v>
      </c>
      <c r="G15" t="s">
        <v>16</v>
      </c>
      <c r="H15" t="s">
        <v>17</v>
      </c>
      <c r="I15" s="4">
        <v>197</v>
      </c>
      <c r="J15" s="4"/>
    </row>
    <row r="16" spans="1:19" ht="16.5" customHeight="1" x14ac:dyDescent="0.3">
      <c r="A16" t="s">
        <v>45</v>
      </c>
      <c r="B16" t="s">
        <v>52</v>
      </c>
      <c r="C16" t="s">
        <v>53</v>
      </c>
      <c r="D16" t="s">
        <v>28</v>
      </c>
      <c r="E16" t="s">
        <v>14</v>
      </c>
      <c r="F16" t="s">
        <v>29</v>
      </c>
      <c r="G16" t="s">
        <v>16</v>
      </c>
      <c r="H16" t="s">
        <v>17</v>
      </c>
      <c r="I16" s="4">
        <v>204</v>
      </c>
      <c r="J16" s="4"/>
    </row>
    <row r="17" spans="1:10" ht="16.5" customHeight="1" x14ac:dyDescent="0.3">
      <c r="A17" t="s">
        <v>54</v>
      </c>
      <c r="B17" t="s">
        <v>55</v>
      </c>
      <c r="C17" t="s">
        <v>56</v>
      </c>
      <c r="D17" t="s">
        <v>28</v>
      </c>
      <c r="E17" t="s">
        <v>14</v>
      </c>
      <c r="F17" t="s">
        <v>57</v>
      </c>
      <c r="G17" t="s">
        <v>16</v>
      </c>
      <c r="H17" t="s">
        <v>17</v>
      </c>
      <c r="I17" s="4">
        <v>217</v>
      </c>
      <c r="J17" s="4"/>
    </row>
    <row r="18" spans="1:10" ht="16.5" customHeight="1" x14ac:dyDescent="0.3">
      <c r="A18" t="s">
        <v>54</v>
      </c>
      <c r="B18" t="s">
        <v>58</v>
      </c>
      <c r="C18" t="s">
        <v>59</v>
      </c>
      <c r="D18" t="s">
        <v>28</v>
      </c>
      <c r="E18" t="s">
        <v>14</v>
      </c>
      <c r="F18" t="s">
        <v>57</v>
      </c>
      <c r="G18" t="s">
        <v>16</v>
      </c>
      <c r="H18" t="s">
        <v>17</v>
      </c>
      <c r="I18" s="4">
        <v>224</v>
      </c>
      <c r="J18" s="4"/>
    </row>
    <row r="19" spans="1:10" ht="16.5" customHeight="1" x14ac:dyDescent="0.3">
      <c r="A19" t="s">
        <v>54</v>
      </c>
      <c r="B19" t="s">
        <v>60</v>
      </c>
      <c r="C19" t="s">
        <v>61</v>
      </c>
      <c r="D19" t="s">
        <v>28</v>
      </c>
      <c r="E19" t="s">
        <v>14</v>
      </c>
      <c r="F19" t="s">
        <v>57</v>
      </c>
      <c r="G19" t="s">
        <v>16</v>
      </c>
      <c r="H19" t="s">
        <v>17</v>
      </c>
      <c r="I19" s="4">
        <v>231</v>
      </c>
      <c r="J19" s="4"/>
    </row>
    <row r="20" spans="1:10" ht="16.5" customHeight="1" x14ac:dyDescent="0.3">
      <c r="A20" t="s">
        <v>54</v>
      </c>
      <c r="B20" t="s">
        <v>62</v>
      </c>
      <c r="C20" t="s">
        <v>63</v>
      </c>
      <c r="D20" t="s">
        <v>28</v>
      </c>
      <c r="E20" t="s">
        <v>14</v>
      </c>
      <c r="F20" t="s">
        <v>57</v>
      </c>
      <c r="G20" t="s">
        <v>16</v>
      </c>
      <c r="H20" t="s">
        <v>17</v>
      </c>
      <c r="I20" s="4">
        <v>238</v>
      </c>
      <c r="J20" s="4"/>
    </row>
    <row r="21" spans="1:10" ht="16.5" customHeight="1" x14ac:dyDescent="0.3">
      <c r="A21" t="s">
        <v>54</v>
      </c>
      <c r="B21" t="s">
        <v>64</v>
      </c>
      <c r="C21" t="s">
        <v>65</v>
      </c>
      <c r="D21" t="s">
        <v>28</v>
      </c>
      <c r="E21" t="s">
        <v>14</v>
      </c>
      <c r="F21" t="s">
        <v>57</v>
      </c>
      <c r="G21" t="s">
        <v>16</v>
      </c>
      <c r="H21" t="s">
        <v>17</v>
      </c>
      <c r="I21" s="4">
        <v>245</v>
      </c>
      <c r="J21" s="4"/>
    </row>
    <row r="22" spans="1:10" ht="16.5" customHeight="1" x14ac:dyDescent="0.3">
      <c r="A22" t="s">
        <v>54</v>
      </c>
      <c r="B22" t="s">
        <v>66</v>
      </c>
      <c r="C22" t="s">
        <v>67</v>
      </c>
      <c r="D22" t="s">
        <v>28</v>
      </c>
      <c r="E22" t="s">
        <v>14</v>
      </c>
      <c r="F22" t="s">
        <v>57</v>
      </c>
      <c r="G22" t="s">
        <v>16</v>
      </c>
      <c r="H22" t="s">
        <v>17</v>
      </c>
      <c r="I22" s="4">
        <v>252</v>
      </c>
      <c r="J22" s="4"/>
    </row>
    <row r="23" spans="1:10" ht="16.5" customHeight="1" x14ac:dyDescent="0.3">
      <c r="A23" t="s">
        <v>54</v>
      </c>
      <c r="B23" t="s">
        <v>68</v>
      </c>
      <c r="C23" t="s">
        <v>69</v>
      </c>
      <c r="D23" t="s">
        <v>28</v>
      </c>
      <c r="E23" t="s">
        <v>14</v>
      </c>
      <c r="F23" t="s">
        <v>57</v>
      </c>
      <c r="G23" t="s">
        <v>16</v>
      </c>
      <c r="H23" t="s">
        <v>17</v>
      </c>
      <c r="I23" s="4">
        <v>259</v>
      </c>
      <c r="J23" s="4"/>
    </row>
    <row r="24" spans="1:10" ht="16.5" customHeight="1" x14ac:dyDescent="0.3">
      <c r="A24" t="s">
        <v>70</v>
      </c>
      <c r="B24" t="s">
        <v>71</v>
      </c>
      <c r="C24" t="s">
        <v>72</v>
      </c>
      <c r="D24" t="s">
        <v>28</v>
      </c>
      <c r="E24" t="s">
        <v>14</v>
      </c>
      <c r="F24" t="s">
        <v>57</v>
      </c>
      <c r="G24" t="s">
        <v>16</v>
      </c>
      <c r="H24" t="s">
        <v>17</v>
      </c>
      <c r="I24" s="4">
        <v>270</v>
      </c>
      <c r="J24" s="4"/>
    </row>
    <row r="25" spans="1:10" ht="16.5" customHeight="1" x14ac:dyDescent="0.3">
      <c r="A25" t="s">
        <v>70</v>
      </c>
      <c r="B25" t="s">
        <v>73</v>
      </c>
      <c r="C25" t="s">
        <v>74</v>
      </c>
      <c r="D25" t="s">
        <v>28</v>
      </c>
      <c r="E25" t="s">
        <v>14</v>
      </c>
      <c r="F25" t="s">
        <v>57</v>
      </c>
      <c r="G25" t="s">
        <v>16</v>
      </c>
      <c r="H25" t="s">
        <v>17</v>
      </c>
      <c r="I25" s="4">
        <v>277</v>
      </c>
      <c r="J25" s="4"/>
    </row>
    <row r="26" spans="1:10" ht="16.5" customHeight="1" x14ac:dyDescent="0.3">
      <c r="A26" t="s">
        <v>70</v>
      </c>
      <c r="B26" t="s">
        <v>75</v>
      </c>
      <c r="C26" t="s">
        <v>76</v>
      </c>
      <c r="D26" t="s">
        <v>28</v>
      </c>
      <c r="E26" t="s">
        <v>14</v>
      </c>
      <c r="F26" t="s">
        <v>57</v>
      </c>
      <c r="G26" t="s">
        <v>16</v>
      </c>
      <c r="H26" t="s">
        <v>17</v>
      </c>
      <c r="I26" s="4">
        <v>284</v>
      </c>
      <c r="J26" s="4"/>
    </row>
    <row r="27" spans="1:10" ht="16.5" customHeight="1" x14ac:dyDescent="0.3">
      <c r="A27" t="s">
        <v>70</v>
      </c>
      <c r="B27" t="s">
        <v>77</v>
      </c>
      <c r="C27" t="s">
        <v>78</v>
      </c>
      <c r="D27" t="s">
        <v>28</v>
      </c>
      <c r="E27" t="s">
        <v>14</v>
      </c>
      <c r="F27" t="s">
        <v>57</v>
      </c>
      <c r="G27" t="s">
        <v>16</v>
      </c>
      <c r="H27" t="s">
        <v>17</v>
      </c>
      <c r="I27" s="4">
        <v>291</v>
      </c>
      <c r="J27" s="4"/>
    </row>
    <row r="28" spans="1:10" ht="16.5" customHeight="1" x14ac:dyDescent="0.3">
      <c r="A28" t="s">
        <v>70</v>
      </c>
      <c r="B28" t="s">
        <v>79</v>
      </c>
      <c r="C28" t="s">
        <v>80</v>
      </c>
      <c r="D28" t="s">
        <v>28</v>
      </c>
      <c r="E28" t="s">
        <v>14</v>
      </c>
      <c r="F28" t="s">
        <v>57</v>
      </c>
      <c r="G28" t="s">
        <v>16</v>
      </c>
      <c r="H28" t="s">
        <v>17</v>
      </c>
      <c r="I28" s="4">
        <v>298</v>
      </c>
      <c r="J28" s="4"/>
    </row>
    <row r="29" spans="1:10" ht="16.5" customHeight="1" x14ac:dyDescent="0.3">
      <c r="A29" t="s">
        <v>70</v>
      </c>
      <c r="B29" t="s">
        <v>81</v>
      </c>
      <c r="C29" t="s">
        <v>82</v>
      </c>
      <c r="D29" t="s">
        <v>28</v>
      </c>
      <c r="E29" t="s">
        <v>14</v>
      </c>
      <c r="F29" t="s">
        <v>57</v>
      </c>
      <c r="G29" t="s">
        <v>16</v>
      </c>
      <c r="H29" t="s">
        <v>17</v>
      </c>
      <c r="I29" s="4">
        <v>305</v>
      </c>
      <c r="J29" s="4"/>
    </row>
    <row r="30" spans="1:10" ht="16.5" customHeight="1" x14ac:dyDescent="0.3">
      <c r="A30" t="s">
        <v>70</v>
      </c>
      <c r="B30" t="s">
        <v>83</v>
      </c>
      <c r="C30" t="s">
        <v>84</v>
      </c>
      <c r="D30" t="s">
        <v>28</v>
      </c>
      <c r="E30" t="s">
        <v>14</v>
      </c>
      <c r="F30" t="s">
        <v>57</v>
      </c>
      <c r="G30" t="s">
        <v>16</v>
      </c>
      <c r="H30" t="s">
        <v>17</v>
      </c>
      <c r="I30" s="4">
        <v>312</v>
      </c>
      <c r="J30" s="4"/>
    </row>
    <row r="31" spans="1:10" ht="16.5" customHeight="1" x14ac:dyDescent="0.3">
      <c r="A31" t="s">
        <v>85</v>
      </c>
      <c r="B31" t="s">
        <v>86</v>
      </c>
      <c r="C31" t="s">
        <v>87</v>
      </c>
      <c r="D31" t="s">
        <v>28</v>
      </c>
      <c r="E31" t="s">
        <v>14</v>
      </c>
      <c r="F31" t="s">
        <v>57</v>
      </c>
      <c r="G31" t="s">
        <v>16</v>
      </c>
      <c r="H31" t="s">
        <v>17</v>
      </c>
      <c r="I31" s="4">
        <v>323</v>
      </c>
      <c r="J31" s="4"/>
    </row>
    <row r="32" spans="1:10" ht="16.5" customHeight="1" x14ac:dyDescent="0.3">
      <c r="A32" t="s">
        <v>85</v>
      </c>
      <c r="B32" t="s">
        <v>88</v>
      </c>
      <c r="C32" t="s">
        <v>89</v>
      </c>
      <c r="D32" t="s">
        <v>28</v>
      </c>
      <c r="E32" t="s">
        <v>14</v>
      </c>
      <c r="F32" t="s">
        <v>57</v>
      </c>
      <c r="G32" t="s">
        <v>16</v>
      </c>
      <c r="H32" t="s">
        <v>17</v>
      </c>
      <c r="I32" s="4">
        <v>330</v>
      </c>
      <c r="J32" s="4"/>
    </row>
    <row r="33" spans="1:10" ht="16.5" customHeight="1" x14ac:dyDescent="0.3">
      <c r="A33" t="s">
        <v>85</v>
      </c>
      <c r="B33" t="s">
        <v>90</v>
      </c>
      <c r="C33" t="s">
        <v>91</v>
      </c>
      <c r="D33" t="s">
        <v>28</v>
      </c>
      <c r="E33" t="s">
        <v>14</v>
      </c>
      <c r="F33" t="s">
        <v>57</v>
      </c>
      <c r="G33" t="s">
        <v>16</v>
      </c>
      <c r="H33" t="s">
        <v>17</v>
      </c>
      <c r="I33" s="4">
        <v>337</v>
      </c>
      <c r="J33" s="4"/>
    </row>
    <row r="34" spans="1:10" ht="16.5" customHeight="1" x14ac:dyDescent="0.3">
      <c r="A34" t="s">
        <v>85</v>
      </c>
      <c r="B34" t="s">
        <v>92</v>
      </c>
      <c r="C34" t="s">
        <v>93</v>
      </c>
      <c r="D34" t="s">
        <v>28</v>
      </c>
      <c r="E34" t="s">
        <v>14</v>
      </c>
      <c r="F34" t="s">
        <v>57</v>
      </c>
      <c r="G34" t="s">
        <v>16</v>
      </c>
      <c r="H34" t="s">
        <v>17</v>
      </c>
      <c r="I34" s="4">
        <v>344</v>
      </c>
      <c r="J34" s="4"/>
    </row>
    <row r="35" spans="1:10" ht="16.5" customHeight="1" x14ac:dyDescent="0.3">
      <c r="A35" t="s">
        <v>85</v>
      </c>
      <c r="B35" t="s">
        <v>94</v>
      </c>
      <c r="C35" t="s">
        <v>95</v>
      </c>
      <c r="D35" t="s">
        <v>28</v>
      </c>
      <c r="E35" t="s">
        <v>14</v>
      </c>
      <c r="F35" t="s">
        <v>57</v>
      </c>
      <c r="G35" t="s">
        <v>16</v>
      </c>
      <c r="H35" t="s">
        <v>17</v>
      </c>
      <c r="I35" s="4">
        <v>351</v>
      </c>
      <c r="J35" s="4"/>
    </row>
    <row r="36" spans="1:10" ht="16.5" customHeight="1" x14ac:dyDescent="0.3">
      <c r="A36" t="s">
        <v>85</v>
      </c>
      <c r="B36" t="s">
        <v>96</v>
      </c>
      <c r="C36" t="s">
        <v>97</v>
      </c>
      <c r="D36" t="s">
        <v>28</v>
      </c>
      <c r="E36" t="s">
        <v>14</v>
      </c>
      <c r="F36" t="s">
        <v>57</v>
      </c>
      <c r="G36" t="s">
        <v>16</v>
      </c>
      <c r="H36" t="s">
        <v>17</v>
      </c>
      <c r="I36" s="4">
        <v>358</v>
      </c>
      <c r="J36" s="4"/>
    </row>
    <row r="37" spans="1:10" ht="16.5" customHeight="1" x14ac:dyDescent="0.3">
      <c r="A37" t="s">
        <v>85</v>
      </c>
      <c r="B37" t="s">
        <v>98</v>
      </c>
      <c r="C37" t="s">
        <v>99</v>
      </c>
      <c r="D37" t="s">
        <v>28</v>
      </c>
      <c r="E37" t="s">
        <v>14</v>
      </c>
      <c r="F37" t="s">
        <v>57</v>
      </c>
      <c r="G37" t="s">
        <v>16</v>
      </c>
      <c r="H37" t="s">
        <v>17</v>
      </c>
      <c r="I37" s="4">
        <v>365</v>
      </c>
      <c r="J37" s="4"/>
    </row>
    <row r="38" spans="1:10" ht="16.5" customHeight="1" x14ac:dyDescent="0.3">
      <c r="A38" t="s">
        <v>100</v>
      </c>
      <c r="B38" t="s">
        <v>101</v>
      </c>
      <c r="C38" t="s">
        <v>102</v>
      </c>
      <c r="D38" t="s">
        <v>28</v>
      </c>
      <c r="E38" t="s">
        <v>14</v>
      </c>
      <c r="F38" t="s">
        <v>103</v>
      </c>
      <c r="G38" t="s">
        <v>16</v>
      </c>
      <c r="H38" t="s">
        <v>17</v>
      </c>
      <c r="I38" s="4">
        <v>381</v>
      </c>
      <c r="J38" s="4"/>
    </row>
    <row r="39" spans="1:10" ht="16.5" customHeight="1" x14ac:dyDescent="0.3">
      <c r="A39" t="s">
        <v>100</v>
      </c>
      <c r="B39" t="s">
        <v>104</v>
      </c>
      <c r="C39" t="s">
        <v>105</v>
      </c>
      <c r="D39" t="s">
        <v>28</v>
      </c>
      <c r="E39" t="s">
        <v>14</v>
      </c>
      <c r="F39" t="s">
        <v>103</v>
      </c>
      <c r="G39" t="s">
        <v>16</v>
      </c>
      <c r="H39" t="s">
        <v>17</v>
      </c>
      <c r="I39" s="4">
        <v>388</v>
      </c>
      <c r="J39" s="4"/>
    </row>
    <row r="40" spans="1:10" ht="16.5" customHeight="1" x14ac:dyDescent="0.3">
      <c r="A40" t="s">
        <v>100</v>
      </c>
      <c r="B40" t="s">
        <v>106</v>
      </c>
      <c r="C40" t="s">
        <v>107</v>
      </c>
      <c r="D40" t="s">
        <v>28</v>
      </c>
      <c r="E40" t="s">
        <v>14</v>
      </c>
      <c r="F40" t="s">
        <v>103</v>
      </c>
      <c r="G40" t="s">
        <v>16</v>
      </c>
      <c r="H40" t="s">
        <v>17</v>
      </c>
      <c r="I40" s="4">
        <v>395</v>
      </c>
      <c r="J40" s="4"/>
    </row>
    <row r="41" spans="1:10" ht="16.5" customHeight="1" x14ac:dyDescent="0.3">
      <c r="A41" t="s">
        <v>100</v>
      </c>
      <c r="B41" t="s">
        <v>108</v>
      </c>
      <c r="C41" t="s">
        <v>109</v>
      </c>
      <c r="D41" t="s">
        <v>28</v>
      </c>
      <c r="E41" t="s">
        <v>14</v>
      </c>
      <c r="F41" t="s">
        <v>103</v>
      </c>
      <c r="G41" t="s">
        <v>16</v>
      </c>
      <c r="H41" t="s">
        <v>17</v>
      </c>
      <c r="I41" s="4">
        <v>402</v>
      </c>
      <c r="J41" s="4"/>
    </row>
    <row r="42" spans="1:10" ht="16.5" customHeight="1" x14ac:dyDescent="0.3">
      <c r="A42" t="s">
        <v>110</v>
      </c>
      <c r="B42" t="s">
        <v>111</v>
      </c>
      <c r="C42" t="s">
        <v>112</v>
      </c>
      <c r="D42" t="s">
        <v>28</v>
      </c>
      <c r="E42" t="s">
        <v>14</v>
      </c>
      <c r="F42" t="s">
        <v>103</v>
      </c>
      <c r="G42" t="s">
        <v>16</v>
      </c>
      <c r="H42" t="s">
        <v>17</v>
      </c>
      <c r="I42" s="4">
        <v>413</v>
      </c>
      <c r="J42" s="4"/>
    </row>
    <row r="43" spans="1:10" ht="16.5" customHeight="1" x14ac:dyDescent="0.3">
      <c r="A43" t="s">
        <v>110</v>
      </c>
      <c r="B43" t="s">
        <v>113</v>
      </c>
      <c r="C43" t="s">
        <v>114</v>
      </c>
      <c r="D43" t="s">
        <v>28</v>
      </c>
      <c r="E43" t="s">
        <v>14</v>
      </c>
      <c r="F43" t="s">
        <v>103</v>
      </c>
      <c r="G43" t="s">
        <v>16</v>
      </c>
      <c r="H43" t="s">
        <v>17</v>
      </c>
      <c r="I43" s="4">
        <v>420</v>
      </c>
      <c r="J43" s="4"/>
    </row>
    <row r="44" spans="1:10" ht="16.5" customHeight="1" x14ac:dyDescent="0.3">
      <c r="A44" t="s">
        <v>110</v>
      </c>
      <c r="B44" t="s">
        <v>115</v>
      </c>
      <c r="C44" t="s">
        <v>116</v>
      </c>
      <c r="D44" t="s">
        <v>28</v>
      </c>
      <c r="E44" t="s">
        <v>14</v>
      </c>
      <c r="F44" t="s">
        <v>103</v>
      </c>
      <c r="G44" t="s">
        <v>16</v>
      </c>
      <c r="H44" t="s">
        <v>17</v>
      </c>
      <c r="I44" s="4">
        <v>427</v>
      </c>
      <c r="J44" s="4"/>
    </row>
    <row r="45" spans="1:10" ht="16.5" customHeight="1" x14ac:dyDescent="0.3">
      <c r="A45" t="s">
        <v>110</v>
      </c>
      <c r="B45" t="s">
        <v>117</v>
      </c>
      <c r="C45" t="s">
        <v>118</v>
      </c>
      <c r="D45" t="s">
        <v>28</v>
      </c>
      <c r="E45" t="s">
        <v>14</v>
      </c>
      <c r="F45" t="s">
        <v>103</v>
      </c>
      <c r="G45" t="s">
        <v>16</v>
      </c>
      <c r="H45" t="s">
        <v>17</v>
      </c>
      <c r="I45" s="4">
        <v>434</v>
      </c>
      <c r="J45" s="4"/>
    </row>
    <row r="46" spans="1:10" ht="16.5" customHeight="1" x14ac:dyDescent="0.3">
      <c r="A46" t="s">
        <v>119</v>
      </c>
      <c r="B46" t="s">
        <v>120</v>
      </c>
      <c r="C46" t="s">
        <v>121</v>
      </c>
      <c r="D46" t="s">
        <v>28</v>
      </c>
      <c r="E46" t="s">
        <v>14</v>
      </c>
      <c r="F46" t="s">
        <v>103</v>
      </c>
      <c r="G46" t="s">
        <v>16</v>
      </c>
      <c r="H46" t="s">
        <v>17</v>
      </c>
      <c r="I46" s="4">
        <v>445</v>
      </c>
      <c r="J46" s="4"/>
    </row>
    <row r="47" spans="1:10" ht="16.5" customHeight="1" x14ac:dyDescent="0.3">
      <c r="A47" t="s">
        <v>119</v>
      </c>
      <c r="B47" t="s">
        <v>122</v>
      </c>
      <c r="C47" t="s">
        <v>123</v>
      </c>
      <c r="D47" t="s">
        <v>28</v>
      </c>
      <c r="E47" t="s">
        <v>14</v>
      </c>
      <c r="F47" t="s">
        <v>103</v>
      </c>
      <c r="G47" t="s">
        <v>16</v>
      </c>
      <c r="H47" t="s">
        <v>17</v>
      </c>
      <c r="I47" s="4">
        <v>452</v>
      </c>
      <c r="J47" s="4"/>
    </row>
    <row r="48" spans="1:10" ht="16.5" customHeight="1" x14ac:dyDescent="0.3">
      <c r="A48" t="s">
        <v>119</v>
      </c>
      <c r="B48" t="s">
        <v>124</v>
      </c>
      <c r="C48" t="s">
        <v>125</v>
      </c>
      <c r="D48" t="s">
        <v>28</v>
      </c>
      <c r="E48" t="s">
        <v>14</v>
      </c>
      <c r="F48" t="s">
        <v>103</v>
      </c>
      <c r="G48" t="s">
        <v>16</v>
      </c>
      <c r="H48" t="s">
        <v>17</v>
      </c>
      <c r="I48" s="4">
        <v>459</v>
      </c>
      <c r="J48" s="4"/>
    </row>
    <row r="49" spans="1:10" ht="16.5" customHeight="1" x14ac:dyDescent="0.3">
      <c r="A49" t="s">
        <v>119</v>
      </c>
      <c r="B49" t="s">
        <v>126</v>
      </c>
      <c r="C49" t="s">
        <v>127</v>
      </c>
      <c r="D49" t="s">
        <v>28</v>
      </c>
      <c r="E49" t="s">
        <v>14</v>
      </c>
      <c r="F49" t="s">
        <v>103</v>
      </c>
      <c r="G49" t="s">
        <v>16</v>
      </c>
      <c r="H49" t="s">
        <v>17</v>
      </c>
      <c r="I49" s="4">
        <v>466</v>
      </c>
      <c r="J49" s="4"/>
    </row>
    <row r="50" spans="1:10" ht="16.5" customHeight="1" x14ac:dyDescent="0.3">
      <c r="A50" t="s">
        <v>128</v>
      </c>
      <c r="B50" t="s">
        <v>129</v>
      </c>
      <c r="C50" t="s">
        <v>130</v>
      </c>
      <c r="D50" t="s">
        <v>131</v>
      </c>
      <c r="E50" t="s">
        <v>14</v>
      </c>
      <c r="F50" t="s">
        <v>132</v>
      </c>
      <c r="G50" t="s">
        <v>16</v>
      </c>
      <c r="H50" t="s">
        <v>17</v>
      </c>
      <c r="I50" s="4">
        <v>482</v>
      </c>
      <c r="J50" s="4"/>
    </row>
    <row r="51" spans="1:10" ht="16.5" customHeight="1" x14ac:dyDescent="0.3">
      <c r="A51" t="s">
        <v>128</v>
      </c>
      <c r="B51" t="s">
        <v>133</v>
      </c>
      <c r="C51" t="s">
        <v>134</v>
      </c>
      <c r="D51" t="s">
        <v>131</v>
      </c>
      <c r="E51" t="s">
        <v>14</v>
      </c>
      <c r="F51" t="s">
        <v>132</v>
      </c>
      <c r="G51" t="s">
        <v>16</v>
      </c>
      <c r="H51" t="s">
        <v>17</v>
      </c>
      <c r="I51" s="4">
        <v>489</v>
      </c>
      <c r="J51" s="4"/>
    </row>
    <row r="52" spans="1:10" ht="16.5" customHeight="1" x14ac:dyDescent="0.3">
      <c r="A52" t="s">
        <v>128</v>
      </c>
      <c r="B52" t="s">
        <v>135</v>
      </c>
      <c r="C52" t="s">
        <v>136</v>
      </c>
      <c r="D52" t="s">
        <v>131</v>
      </c>
      <c r="E52" t="s">
        <v>14</v>
      </c>
      <c r="F52" t="s">
        <v>132</v>
      </c>
      <c r="G52" t="s">
        <v>16</v>
      </c>
      <c r="H52" t="s">
        <v>17</v>
      </c>
      <c r="I52" s="4">
        <v>497</v>
      </c>
      <c r="J52" s="4"/>
    </row>
    <row r="53" spans="1:10" ht="16.5" customHeight="1" x14ac:dyDescent="0.3">
      <c r="A53" t="s">
        <v>137</v>
      </c>
      <c r="B53" t="s">
        <v>138</v>
      </c>
      <c r="C53" t="s">
        <v>139</v>
      </c>
      <c r="D53" t="s">
        <v>140</v>
      </c>
      <c r="E53" t="s">
        <v>14</v>
      </c>
      <c r="F53" t="s">
        <v>141</v>
      </c>
      <c r="G53" t="s">
        <v>16</v>
      </c>
      <c r="H53" t="s">
        <v>17</v>
      </c>
      <c r="I53" s="4">
        <v>511</v>
      </c>
      <c r="J53" s="4"/>
    </row>
    <row r="54" spans="1:10" ht="16.5" customHeight="1" x14ac:dyDescent="0.3">
      <c r="A54" t="s">
        <v>137</v>
      </c>
      <c r="B54" t="s">
        <v>142</v>
      </c>
      <c r="C54" t="s">
        <v>143</v>
      </c>
      <c r="D54" t="s">
        <v>140</v>
      </c>
      <c r="E54" t="s">
        <v>14</v>
      </c>
      <c r="F54" t="s">
        <v>141</v>
      </c>
      <c r="G54" t="s">
        <v>16</v>
      </c>
      <c r="H54" t="s">
        <v>17</v>
      </c>
      <c r="I54" s="4">
        <v>519</v>
      </c>
      <c r="J54" s="4"/>
    </row>
    <row r="55" spans="1:10" ht="16.5" customHeight="1" x14ac:dyDescent="0.3">
      <c r="A55" t="s">
        <v>137</v>
      </c>
      <c r="B55" t="s">
        <v>144</v>
      </c>
      <c r="C55" t="s">
        <v>145</v>
      </c>
      <c r="D55" t="s">
        <v>140</v>
      </c>
      <c r="E55" t="s">
        <v>14</v>
      </c>
      <c r="F55" t="s">
        <v>141</v>
      </c>
      <c r="G55" t="s">
        <v>16</v>
      </c>
      <c r="H55" t="s">
        <v>17</v>
      </c>
      <c r="I55" s="4">
        <v>527</v>
      </c>
      <c r="J55" s="4"/>
    </row>
    <row r="56" spans="1:10" ht="16.5" customHeight="1" x14ac:dyDescent="0.3">
      <c r="A56" t="s">
        <v>146</v>
      </c>
      <c r="B56" t="s">
        <v>147</v>
      </c>
      <c r="C56" t="s">
        <v>148</v>
      </c>
      <c r="D56" t="s">
        <v>149</v>
      </c>
      <c r="E56" t="s">
        <v>14</v>
      </c>
      <c r="F56" t="s">
        <v>150</v>
      </c>
      <c r="G56" t="s">
        <v>16</v>
      </c>
      <c r="H56" t="s">
        <v>17</v>
      </c>
      <c r="I56" s="4">
        <v>543</v>
      </c>
      <c r="J56" s="4"/>
    </row>
    <row r="57" spans="1:10" ht="16.5" customHeight="1" x14ac:dyDescent="0.3">
      <c r="A57" t="s">
        <v>146</v>
      </c>
      <c r="B57" t="s">
        <v>151</v>
      </c>
      <c r="C57" t="s">
        <v>152</v>
      </c>
      <c r="D57" t="s">
        <v>149</v>
      </c>
      <c r="E57" t="s">
        <v>14</v>
      </c>
      <c r="F57" t="s">
        <v>150</v>
      </c>
      <c r="G57" t="s">
        <v>16</v>
      </c>
      <c r="H57" t="s">
        <v>17</v>
      </c>
      <c r="I57" s="4">
        <v>554</v>
      </c>
      <c r="J57" s="4"/>
    </row>
    <row r="58" spans="1:10" ht="16.5" customHeight="1" x14ac:dyDescent="0.3">
      <c r="A58" t="s">
        <v>146</v>
      </c>
      <c r="B58" t="s">
        <v>153</v>
      </c>
      <c r="C58" t="s">
        <v>154</v>
      </c>
      <c r="D58" t="s">
        <v>149</v>
      </c>
      <c r="E58" t="s">
        <v>14</v>
      </c>
      <c r="F58" t="s">
        <v>150</v>
      </c>
      <c r="G58" t="s">
        <v>16</v>
      </c>
      <c r="H58" t="s">
        <v>17</v>
      </c>
      <c r="I58" s="4">
        <v>568</v>
      </c>
      <c r="J58" s="4"/>
    </row>
    <row r="59" spans="1:10" ht="16.5" customHeight="1" x14ac:dyDescent="0.3">
      <c r="A59" t="s">
        <v>146</v>
      </c>
      <c r="B59" t="s">
        <v>155</v>
      </c>
      <c r="C59" t="s">
        <v>156</v>
      </c>
      <c r="D59" t="s">
        <v>149</v>
      </c>
      <c r="E59" t="s">
        <v>14</v>
      </c>
      <c r="F59" t="s">
        <v>150</v>
      </c>
      <c r="G59" t="s">
        <v>16</v>
      </c>
      <c r="H59" t="s">
        <v>17</v>
      </c>
      <c r="I59" s="4">
        <v>582</v>
      </c>
      <c r="J59" s="4"/>
    </row>
    <row r="60" spans="1:10" ht="16.5" customHeight="1" x14ac:dyDescent="0.3">
      <c r="A60" t="s">
        <v>157</v>
      </c>
      <c r="B60" t="s">
        <v>158</v>
      </c>
      <c r="C60" t="s">
        <v>159</v>
      </c>
      <c r="D60" t="s">
        <v>160</v>
      </c>
      <c r="E60" t="s">
        <v>14</v>
      </c>
      <c r="F60" t="s">
        <v>161</v>
      </c>
      <c r="G60" t="s">
        <v>16</v>
      </c>
      <c r="H60" t="s">
        <v>17</v>
      </c>
      <c r="I60" s="4">
        <v>597</v>
      </c>
      <c r="J60" s="4"/>
    </row>
    <row r="61" spans="1:10" ht="16.5" customHeight="1" x14ac:dyDescent="0.3">
      <c r="A61" t="s">
        <v>162</v>
      </c>
      <c r="B61" t="s">
        <v>163</v>
      </c>
      <c r="C61" t="s">
        <v>164</v>
      </c>
      <c r="D61" t="s">
        <v>165</v>
      </c>
      <c r="E61" t="s">
        <v>14</v>
      </c>
      <c r="F61" t="s">
        <v>166</v>
      </c>
      <c r="G61" t="s">
        <v>16</v>
      </c>
      <c r="H61" t="s">
        <v>17</v>
      </c>
      <c r="I61" s="4">
        <v>611</v>
      </c>
      <c r="J61" s="4"/>
    </row>
    <row r="62" spans="1:10" ht="16.5" customHeight="1" x14ac:dyDescent="0.3">
      <c r="A62" t="s">
        <v>146</v>
      </c>
      <c r="B62" t="s">
        <v>167</v>
      </c>
      <c r="C62" t="s">
        <v>168</v>
      </c>
      <c r="D62" t="s">
        <v>149</v>
      </c>
      <c r="E62" t="s">
        <v>14</v>
      </c>
      <c r="F62" t="s">
        <v>150</v>
      </c>
      <c r="G62" t="s">
        <v>16</v>
      </c>
      <c r="H62" t="s">
        <v>17</v>
      </c>
      <c r="I62" s="4">
        <v>629</v>
      </c>
      <c r="J62" s="4"/>
    </row>
    <row r="63" spans="1:10" ht="16.5" customHeight="1" x14ac:dyDescent="0.3">
      <c r="A63" t="s">
        <v>169</v>
      </c>
      <c r="B63" t="s">
        <v>170</v>
      </c>
      <c r="C63" t="s">
        <v>171</v>
      </c>
      <c r="D63" t="s">
        <v>172</v>
      </c>
      <c r="E63" t="s">
        <v>14</v>
      </c>
      <c r="F63" t="s">
        <v>173</v>
      </c>
      <c r="G63" t="s">
        <v>16</v>
      </c>
      <c r="H63" t="s">
        <v>17</v>
      </c>
      <c r="I63" s="4">
        <v>647</v>
      </c>
      <c r="J63" s="4"/>
    </row>
    <row r="64" spans="1:10" ht="16.5" customHeight="1" x14ac:dyDescent="0.3">
      <c r="A64" t="s">
        <v>169</v>
      </c>
      <c r="B64" t="s">
        <v>174</v>
      </c>
      <c r="C64" t="s">
        <v>175</v>
      </c>
      <c r="D64" t="s">
        <v>172</v>
      </c>
      <c r="E64" t="s">
        <v>14</v>
      </c>
      <c r="F64" t="s">
        <v>173</v>
      </c>
      <c r="G64" t="s">
        <v>16</v>
      </c>
      <c r="H64" t="s">
        <v>17</v>
      </c>
      <c r="I64" s="4">
        <v>656</v>
      </c>
      <c r="J64" s="4"/>
    </row>
    <row r="65" spans="1:10" ht="16.5" customHeight="1" x14ac:dyDescent="0.3">
      <c r="A65" t="s">
        <v>169</v>
      </c>
      <c r="B65" t="s">
        <v>176</v>
      </c>
      <c r="C65" t="s">
        <v>177</v>
      </c>
      <c r="D65" t="s">
        <v>172</v>
      </c>
      <c r="E65" t="s">
        <v>14</v>
      </c>
      <c r="F65" t="s">
        <v>173</v>
      </c>
      <c r="G65" t="s">
        <v>16</v>
      </c>
      <c r="H65" t="s">
        <v>17</v>
      </c>
      <c r="I65" s="4">
        <v>665</v>
      </c>
      <c r="J65" s="4"/>
    </row>
    <row r="66" spans="1:10" ht="16.5" customHeight="1" x14ac:dyDescent="0.3">
      <c r="A66" t="s">
        <v>169</v>
      </c>
      <c r="B66" t="s">
        <v>178</v>
      </c>
      <c r="C66" t="s">
        <v>179</v>
      </c>
      <c r="D66" t="s">
        <v>172</v>
      </c>
      <c r="E66" t="s">
        <v>14</v>
      </c>
      <c r="F66" t="s">
        <v>173</v>
      </c>
      <c r="G66" t="s">
        <v>16</v>
      </c>
      <c r="H66" t="s">
        <v>17</v>
      </c>
      <c r="I66" s="4">
        <v>674</v>
      </c>
      <c r="J66" s="4"/>
    </row>
    <row r="67" spans="1:10" ht="16.5" customHeight="1" x14ac:dyDescent="0.3">
      <c r="A67" t="s">
        <v>169</v>
      </c>
      <c r="B67" t="s">
        <v>180</v>
      </c>
      <c r="C67" t="s">
        <v>181</v>
      </c>
      <c r="D67" t="s">
        <v>172</v>
      </c>
      <c r="E67" t="s">
        <v>14</v>
      </c>
      <c r="F67" t="s">
        <v>173</v>
      </c>
      <c r="G67" t="s">
        <v>16</v>
      </c>
      <c r="H67" t="s">
        <v>17</v>
      </c>
      <c r="I67" s="4">
        <v>683</v>
      </c>
      <c r="J67" s="4"/>
    </row>
    <row r="68" spans="1:10" ht="16.5" customHeight="1" x14ac:dyDescent="0.3">
      <c r="A68" t="s">
        <v>36</v>
      </c>
      <c r="B68" t="s">
        <v>182</v>
      </c>
      <c r="C68" t="s">
        <v>183</v>
      </c>
      <c r="D68" t="s">
        <v>28</v>
      </c>
      <c r="E68" t="s">
        <v>14</v>
      </c>
      <c r="F68" t="s">
        <v>29</v>
      </c>
      <c r="G68" t="s">
        <v>16</v>
      </c>
      <c r="H68" t="s">
        <v>17</v>
      </c>
      <c r="I68" s="4">
        <v>699</v>
      </c>
      <c r="J68" s="4"/>
    </row>
    <row r="69" spans="1:10" ht="16.5" customHeight="1" x14ac:dyDescent="0.3">
      <c r="A69" t="s">
        <v>36</v>
      </c>
      <c r="B69" t="s">
        <v>184</v>
      </c>
      <c r="C69" t="s">
        <v>185</v>
      </c>
      <c r="D69" t="s">
        <v>28</v>
      </c>
      <c r="E69" t="s">
        <v>14</v>
      </c>
      <c r="F69" t="s">
        <v>29</v>
      </c>
      <c r="G69" t="s">
        <v>16</v>
      </c>
      <c r="H69" t="s">
        <v>17</v>
      </c>
      <c r="I69" s="4">
        <v>707</v>
      </c>
      <c r="J69" s="4"/>
    </row>
    <row r="70" spans="1:10" ht="16.5" customHeight="1" x14ac:dyDescent="0.3">
      <c r="A70" t="s">
        <v>36</v>
      </c>
      <c r="B70" t="s">
        <v>186</v>
      </c>
      <c r="C70" t="s">
        <v>187</v>
      </c>
      <c r="D70" t="s">
        <v>28</v>
      </c>
      <c r="E70" t="s">
        <v>14</v>
      </c>
      <c r="F70" t="s">
        <v>29</v>
      </c>
      <c r="G70" t="s">
        <v>16</v>
      </c>
      <c r="H70" t="s">
        <v>17</v>
      </c>
      <c r="I70" s="4">
        <v>715</v>
      </c>
      <c r="J70" s="4"/>
    </row>
    <row r="71" spans="1:10" x14ac:dyDescent="0.3">
      <c r="A71" t="s">
        <v>70</v>
      </c>
      <c r="B71" t="s">
        <v>188</v>
      </c>
      <c r="C71" t="s">
        <v>189</v>
      </c>
      <c r="D71" t="s">
        <v>28</v>
      </c>
      <c r="E71" t="s">
        <v>14</v>
      </c>
      <c r="F71" t="s">
        <v>57</v>
      </c>
      <c r="G71" t="s">
        <v>16</v>
      </c>
      <c r="H71" t="s">
        <v>17</v>
      </c>
      <c r="I71" s="12">
        <v>723</v>
      </c>
    </row>
    <row r="72" spans="1:10" x14ac:dyDescent="0.3">
      <c r="A72" t="s">
        <v>119</v>
      </c>
      <c r="B72" t="s">
        <v>190</v>
      </c>
      <c r="C72" t="s">
        <v>191</v>
      </c>
      <c r="D72" t="s">
        <v>28</v>
      </c>
      <c r="E72" t="s">
        <v>14</v>
      </c>
      <c r="F72" t="s">
        <v>103</v>
      </c>
      <c r="G72" t="s">
        <v>16</v>
      </c>
      <c r="H72" t="s">
        <v>17</v>
      </c>
      <c r="I72" s="12">
        <v>731</v>
      </c>
    </row>
    <row r="73" spans="1:10" x14ac:dyDescent="0.3">
      <c r="A73" t="s">
        <v>110</v>
      </c>
      <c r="B73" t="s">
        <v>192</v>
      </c>
      <c r="C73" t="s">
        <v>193</v>
      </c>
      <c r="D73" t="s">
        <v>28</v>
      </c>
      <c r="E73" t="s">
        <v>14</v>
      </c>
      <c r="F73" t="s">
        <v>103</v>
      </c>
      <c r="G73" t="s">
        <v>16</v>
      </c>
      <c r="H73" t="s">
        <v>17</v>
      </c>
      <c r="I73" s="12">
        <v>739</v>
      </c>
    </row>
    <row r="74" spans="1:10" x14ac:dyDescent="0.3">
      <c r="A74" t="s">
        <v>54</v>
      </c>
      <c r="B74" t="s">
        <v>194</v>
      </c>
      <c r="C74" t="s">
        <v>195</v>
      </c>
      <c r="D74" t="s">
        <v>28</v>
      </c>
      <c r="E74" t="s">
        <v>14</v>
      </c>
      <c r="F74" t="s">
        <v>57</v>
      </c>
      <c r="G74" t="s">
        <v>16</v>
      </c>
      <c r="H74" t="s">
        <v>17</v>
      </c>
      <c r="I74" s="12">
        <v>747</v>
      </c>
    </row>
    <row r="75" spans="1:10" x14ac:dyDescent="0.3">
      <c r="A75" t="s">
        <v>128</v>
      </c>
      <c r="B75" t="s">
        <v>196</v>
      </c>
      <c r="C75" t="s">
        <v>197</v>
      </c>
      <c r="D75" t="s">
        <v>131</v>
      </c>
      <c r="E75" t="s">
        <v>14</v>
      </c>
      <c r="F75" t="s">
        <v>132</v>
      </c>
      <c r="G75" t="s">
        <v>16</v>
      </c>
      <c r="H75" t="s">
        <v>17</v>
      </c>
      <c r="I75" s="12">
        <v>755</v>
      </c>
    </row>
    <row r="76" spans="1:10" x14ac:dyDescent="0.3">
      <c r="A76" t="s">
        <v>137</v>
      </c>
      <c r="B76" t="s">
        <v>198</v>
      </c>
      <c r="C76" t="s">
        <v>199</v>
      </c>
      <c r="D76" t="s">
        <v>140</v>
      </c>
      <c r="E76" t="s">
        <v>14</v>
      </c>
      <c r="F76" t="s">
        <v>141</v>
      </c>
      <c r="G76" t="s">
        <v>16</v>
      </c>
      <c r="H76" t="s">
        <v>17</v>
      </c>
      <c r="I76" s="12">
        <v>763</v>
      </c>
    </row>
    <row r="77" spans="1:10" x14ac:dyDescent="0.3">
      <c r="A77" t="s">
        <v>137</v>
      </c>
      <c r="B77" t="s">
        <v>200</v>
      </c>
      <c r="C77" t="s">
        <v>201</v>
      </c>
      <c r="D77" t="s">
        <v>140</v>
      </c>
      <c r="E77" t="s">
        <v>14</v>
      </c>
      <c r="F77" t="s">
        <v>141</v>
      </c>
      <c r="G77" t="s">
        <v>16</v>
      </c>
      <c r="H77" t="s">
        <v>17</v>
      </c>
      <c r="I77" s="12">
        <v>771</v>
      </c>
    </row>
    <row r="78" spans="1:10" x14ac:dyDescent="0.3">
      <c r="A78" t="s">
        <v>10</v>
      </c>
      <c r="B78" t="s">
        <v>202</v>
      </c>
      <c r="C78" t="s">
        <v>203</v>
      </c>
      <c r="D78" t="s">
        <v>13</v>
      </c>
      <c r="E78" t="s">
        <v>14</v>
      </c>
      <c r="F78" t="s">
        <v>15</v>
      </c>
      <c r="G78" t="s">
        <v>16</v>
      </c>
      <c r="H78" t="s">
        <v>204</v>
      </c>
      <c r="I78" s="12">
        <v>124</v>
      </c>
    </row>
    <row r="79" spans="1:10" x14ac:dyDescent="0.3">
      <c r="A79" t="s">
        <v>10</v>
      </c>
      <c r="B79" t="s">
        <v>205</v>
      </c>
      <c r="C79" t="s">
        <v>206</v>
      </c>
      <c r="D79" t="s">
        <v>13</v>
      </c>
      <c r="E79" t="s">
        <v>14</v>
      </c>
      <c r="F79" t="s">
        <v>15</v>
      </c>
      <c r="G79" t="s">
        <v>16</v>
      </c>
      <c r="H79" t="s">
        <v>204</v>
      </c>
      <c r="I79" s="12">
        <v>132</v>
      </c>
    </row>
    <row r="80" spans="1:10" x14ac:dyDescent="0.3">
      <c r="A80" t="s">
        <v>169</v>
      </c>
      <c r="B80" t="s">
        <v>207</v>
      </c>
      <c r="C80" t="s">
        <v>208</v>
      </c>
      <c r="D80" t="s">
        <v>172</v>
      </c>
      <c r="E80" t="s">
        <v>14</v>
      </c>
      <c r="F80" t="s">
        <v>173</v>
      </c>
      <c r="G80" t="s">
        <v>16</v>
      </c>
      <c r="H80" t="s">
        <v>204</v>
      </c>
      <c r="I80" s="12">
        <v>161</v>
      </c>
    </row>
    <row r="81" spans="1:9" x14ac:dyDescent="0.3">
      <c r="A81" t="s">
        <v>209</v>
      </c>
      <c r="B81" t="s">
        <v>210</v>
      </c>
      <c r="C81" t="s">
        <v>208</v>
      </c>
      <c r="D81" t="s">
        <v>172</v>
      </c>
      <c r="E81" t="s">
        <v>14</v>
      </c>
      <c r="F81" t="s">
        <v>173</v>
      </c>
      <c r="G81" t="s">
        <v>16</v>
      </c>
      <c r="H81" t="s">
        <v>204</v>
      </c>
      <c r="I81" s="12">
        <v>161</v>
      </c>
    </row>
    <row r="82" spans="1:9" x14ac:dyDescent="0.3">
      <c r="A82" t="s">
        <v>169</v>
      </c>
      <c r="B82" t="s">
        <v>211</v>
      </c>
      <c r="C82" t="s">
        <v>212</v>
      </c>
      <c r="D82" t="s">
        <v>172</v>
      </c>
      <c r="E82" t="s">
        <v>14</v>
      </c>
      <c r="F82" t="s">
        <v>173</v>
      </c>
      <c r="G82" t="s">
        <v>16</v>
      </c>
      <c r="H82" t="s">
        <v>204</v>
      </c>
      <c r="I82" s="12">
        <v>168</v>
      </c>
    </row>
    <row r="83" spans="1:9" x14ac:dyDescent="0.3">
      <c r="A83" t="s">
        <v>209</v>
      </c>
      <c r="B83" t="s">
        <v>213</v>
      </c>
      <c r="C83" t="s">
        <v>212</v>
      </c>
      <c r="D83" t="s">
        <v>172</v>
      </c>
      <c r="E83" t="s">
        <v>14</v>
      </c>
      <c r="F83" t="s">
        <v>173</v>
      </c>
      <c r="G83" t="s">
        <v>16</v>
      </c>
      <c r="H83" t="s">
        <v>204</v>
      </c>
      <c r="I83" s="12">
        <v>168</v>
      </c>
    </row>
    <row r="84" spans="1:9" x14ac:dyDescent="0.3">
      <c r="A84" t="s">
        <v>169</v>
      </c>
      <c r="B84" t="s">
        <v>214</v>
      </c>
      <c r="C84" t="s">
        <v>215</v>
      </c>
      <c r="D84" t="s">
        <v>172</v>
      </c>
      <c r="E84" t="s">
        <v>14</v>
      </c>
      <c r="F84" t="s">
        <v>173</v>
      </c>
      <c r="G84" t="s">
        <v>16</v>
      </c>
      <c r="H84" t="s">
        <v>204</v>
      </c>
      <c r="I84" s="12">
        <v>175</v>
      </c>
    </row>
    <row r="85" spans="1:9" x14ac:dyDescent="0.3">
      <c r="A85" t="s">
        <v>209</v>
      </c>
      <c r="B85" t="s">
        <v>216</v>
      </c>
      <c r="C85" t="s">
        <v>215</v>
      </c>
      <c r="D85" t="s">
        <v>172</v>
      </c>
      <c r="E85" t="s">
        <v>14</v>
      </c>
      <c r="F85" t="s">
        <v>173</v>
      </c>
      <c r="G85" t="s">
        <v>16</v>
      </c>
      <c r="H85" t="s">
        <v>204</v>
      </c>
      <c r="I85" s="12">
        <v>175</v>
      </c>
    </row>
    <row r="86" spans="1:9" x14ac:dyDescent="0.3">
      <c r="A86" t="s">
        <v>169</v>
      </c>
      <c r="B86" t="s">
        <v>217</v>
      </c>
      <c r="C86" t="s">
        <v>218</v>
      </c>
      <c r="D86" t="s">
        <v>172</v>
      </c>
      <c r="E86" t="s">
        <v>14</v>
      </c>
      <c r="F86" t="s">
        <v>173</v>
      </c>
      <c r="G86" t="s">
        <v>16</v>
      </c>
      <c r="H86" t="s">
        <v>204</v>
      </c>
      <c r="I86" s="12">
        <v>182</v>
      </c>
    </row>
    <row r="87" spans="1:9" x14ac:dyDescent="0.3">
      <c r="A87" t="s">
        <v>209</v>
      </c>
      <c r="B87" t="s">
        <v>219</v>
      </c>
      <c r="C87" t="s">
        <v>218</v>
      </c>
      <c r="D87" t="s">
        <v>172</v>
      </c>
      <c r="E87" t="s">
        <v>14</v>
      </c>
      <c r="F87" t="s">
        <v>173</v>
      </c>
      <c r="G87" t="s">
        <v>16</v>
      </c>
      <c r="H87" t="s">
        <v>204</v>
      </c>
      <c r="I87" s="12">
        <v>182</v>
      </c>
    </row>
    <row r="88" spans="1:9" x14ac:dyDescent="0.3">
      <c r="A88" t="s">
        <v>169</v>
      </c>
      <c r="B88" t="s">
        <v>220</v>
      </c>
      <c r="C88" t="s">
        <v>221</v>
      </c>
      <c r="D88" t="s">
        <v>172</v>
      </c>
      <c r="E88" t="s">
        <v>14</v>
      </c>
      <c r="F88" t="s">
        <v>173</v>
      </c>
      <c r="G88" t="s">
        <v>16</v>
      </c>
      <c r="H88" t="s">
        <v>204</v>
      </c>
      <c r="I88" s="12">
        <v>189</v>
      </c>
    </row>
    <row r="89" spans="1:9" x14ac:dyDescent="0.3">
      <c r="A89" t="s">
        <v>209</v>
      </c>
      <c r="B89" t="s">
        <v>222</v>
      </c>
      <c r="C89" t="s">
        <v>221</v>
      </c>
      <c r="D89" t="s">
        <v>172</v>
      </c>
      <c r="E89" t="s">
        <v>14</v>
      </c>
      <c r="F89" t="s">
        <v>173</v>
      </c>
      <c r="G89" t="s">
        <v>16</v>
      </c>
      <c r="H89" t="s">
        <v>204</v>
      </c>
      <c r="I89" s="12">
        <v>189</v>
      </c>
    </row>
    <row r="90" spans="1:9" x14ac:dyDescent="0.3">
      <c r="A90" t="s">
        <v>169</v>
      </c>
      <c r="B90" t="s">
        <v>223</v>
      </c>
      <c r="C90" t="s">
        <v>224</v>
      </c>
      <c r="D90" t="s">
        <v>172</v>
      </c>
      <c r="E90" t="s">
        <v>14</v>
      </c>
      <c r="F90" t="s">
        <v>173</v>
      </c>
      <c r="G90" t="s">
        <v>16</v>
      </c>
      <c r="H90" t="s">
        <v>204</v>
      </c>
      <c r="I90" s="12">
        <v>196</v>
      </c>
    </row>
    <row r="91" spans="1:9" x14ac:dyDescent="0.3">
      <c r="A91" t="s">
        <v>209</v>
      </c>
      <c r="B91" t="s">
        <v>225</v>
      </c>
      <c r="C91" t="s">
        <v>224</v>
      </c>
      <c r="D91" t="s">
        <v>172</v>
      </c>
      <c r="E91" t="s">
        <v>14</v>
      </c>
      <c r="F91" t="s">
        <v>173</v>
      </c>
      <c r="G91" t="s">
        <v>16</v>
      </c>
      <c r="H91" t="s">
        <v>204</v>
      </c>
      <c r="I91" s="12">
        <v>196</v>
      </c>
    </row>
    <row r="92" spans="1:9" x14ac:dyDescent="0.3">
      <c r="A92" t="s">
        <v>18</v>
      </c>
      <c r="B92" t="s">
        <v>226</v>
      </c>
      <c r="C92" t="s">
        <v>227</v>
      </c>
      <c r="D92" t="s">
        <v>21</v>
      </c>
      <c r="E92" t="s">
        <v>14</v>
      </c>
      <c r="F92" t="s">
        <v>22</v>
      </c>
      <c r="G92" t="s">
        <v>16</v>
      </c>
      <c r="H92" t="s">
        <v>204</v>
      </c>
      <c r="I92" s="12">
        <v>207</v>
      </c>
    </row>
    <row r="93" spans="1:9" x14ac:dyDescent="0.3">
      <c r="A93" t="s">
        <v>18</v>
      </c>
      <c r="B93" t="s">
        <v>228</v>
      </c>
      <c r="C93" t="s">
        <v>229</v>
      </c>
      <c r="D93" t="s">
        <v>21</v>
      </c>
      <c r="E93" t="s">
        <v>14</v>
      </c>
      <c r="F93" t="s">
        <v>22</v>
      </c>
      <c r="G93" t="s">
        <v>16</v>
      </c>
      <c r="H93" t="s">
        <v>204</v>
      </c>
      <c r="I93" s="12">
        <v>214</v>
      </c>
    </row>
    <row r="94" spans="1:9" x14ac:dyDescent="0.3">
      <c r="A94" t="s">
        <v>18</v>
      </c>
      <c r="B94" t="s">
        <v>230</v>
      </c>
      <c r="C94" t="s">
        <v>231</v>
      </c>
      <c r="D94" t="s">
        <v>21</v>
      </c>
      <c r="E94" t="s">
        <v>14</v>
      </c>
      <c r="F94" t="s">
        <v>22</v>
      </c>
      <c r="G94" t="s">
        <v>16</v>
      </c>
      <c r="H94" t="s">
        <v>204</v>
      </c>
      <c r="I94" s="12">
        <v>225</v>
      </c>
    </row>
    <row r="95" spans="1:9" x14ac:dyDescent="0.3">
      <c r="A95" t="s">
        <v>18</v>
      </c>
      <c r="B95" t="s">
        <v>232</v>
      </c>
      <c r="C95" t="s">
        <v>233</v>
      </c>
      <c r="D95" t="s">
        <v>21</v>
      </c>
      <c r="E95" t="s">
        <v>14</v>
      </c>
      <c r="F95" t="s">
        <v>22</v>
      </c>
      <c r="G95" t="s">
        <v>16</v>
      </c>
      <c r="H95" t="s">
        <v>204</v>
      </c>
      <c r="I95" s="12">
        <v>234</v>
      </c>
    </row>
    <row r="96" spans="1:9" x14ac:dyDescent="0.3">
      <c r="A96" t="s">
        <v>18</v>
      </c>
      <c r="B96" t="s">
        <v>234</v>
      </c>
      <c r="C96" t="s">
        <v>235</v>
      </c>
      <c r="D96" t="s">
        <v>21</v>
      </c>
      <c r="E96" t="s">
        <v>14</v>
      </c>
      <c r="F96" t="s">
        <v>22</v>
      </c>
      <c r="G96" t="s">
        <v>16</v>
      </c>
      <c r="H96" t="s">
        <v>204</v>
      </c>
      <c r="I96" s="12">
        <v>244</v>
      </c>
    </row>
    <row r="97" spans="1:9" x14ac:dyDescent="0.3">
      <c r="A97" t="s">
        <v>236</v>
      </c>
      <c r="B97" t="s">
        <v>237</v>
      </c>
      <c r="C97" t="s">
        <v>238</v>
      </c>
      <c r="D97" t="s">
        <v>239</v>
      </c>
      <c r="E97" t="s">
        <v>14</v>
      </c>
      <c r="F97" t="s">
        <v>240</v>
      </c>
      <c r="G97" t="s">
        <v>16</v>
      </c>
      <c r="H97" t="s">
        <v>204</v>
      </c>
      <c r="I97" s="12">
        <v>266</v>
      </c>
    </row>
    <row r="98" spans="1:9" x14ac:dyDescent="0.3">
      <c r="A98" t="s">
        <v>241</v>
      </c>
      <c r="B98" t="s">
        <v>242</v>
      </c>
      <c r="C98" t="s">
        <v>243</v>
      </c>
      <c r="D98" t="s">
        <v>244</v>
      </c>
      <c r="E98" t="s">
        <v>245</v>
      </c>
      <c r="F98" t="s">
        <v>246</v>
      </c>
      <c r="G98" t="s">
        <v>16</v>
      </c>
      <c r="H98" t="s">
        <v>204</v>
      </c>
      <c r="I98" s="12">
        <v>301</v>
      </c>
    </row>
    <row r="99" spans="1:9" x14ac:dyDescent="0.3">
      <c r="A99" t="s">
        <v>241</v>
      </c>
      <c r="B99" t="s">
        <v>247</v>
      </c>
      <c r="C99" t="s">
        <v>248</v>
      </c>
      <c r="D99" t="s">
        <v>244</v>
      </c>
      <c r="E99" t="s">
        <v>245</v>
      </c>
      <c r="F99" t="s">
        <v>246</v>
      </c>
      <c r="G99" t="s">
        <v>16</v>
      </c>
      <c r="H99" t="s">
        <v>204</v>
      </c>
      <c r="I99" s="12">
        <v>307</v>
      </c>
    </row>
    <row r="100" spans="1:9" x14ac:dyDescent="0.3">
      <c r="A100" t="s">
        <v>241</v>
      </c>
      <c r="B100" t="s">
        <v>249</v>
      </c>
      <c r="C100" t="s">
        <v>250</v>
      </c>
      <c r="D100" t="s">
        <v>244</v>
      </c>
      <c r="E100" t="s">
        <v>245</v>
      </c>
      <c r="F100" t="s">
        <v>246</v>
      </c>
      <c r="G100" t="s">
        <v>16</v>
      </c>
      <c r="H100" t="s">
        <v>204</v>
      </c>
      <c r="I100" s="12">
        <v>313</v>
      </c>
    </row>
    <row r="101" spans="1:9" x14ac:dyDescent="0.3">
      <c r="A101" t="s">
        <v>241</v>
      </c>
      <c r="B101" t="s">
        <v>251</v>
      </c>
      <c r="C101" t="s">
        <v>252</v>
      </c>
      <c r="D101" t="s">
        <v>244</v>
      </c>
      <c r="E101" t="s">
        <v>245</v>
      </c>
      <c r="F101" t="s">
        <v>246</v>
      </c>
      <c r="G101" t="s">
        <v>16</v>
      </c>
      <c r="H101" t="s">
        <v>204</v>
      </c>
      <c r="I101" s="12">
        <v>319</v>
      </c>
    </row>
    <row r="102" spans="1:9" x14ac:dyDescent="0.3">
      <c r="A102" t="s">
        <v>241</v>
      </c>
      <c r="B102" t="s">
        <v>253</v>
      </c>
      <c r="C102" t="s">
        <v>254</v>
      </c>
      <c r="D102" t="s">
        <v>244</v>
      </c>
      <c r="E102" t="s">
        <v>245</v>
      </c>
      <c r="F102" t="s">
        <v>246</v>
      </c>
      <c r="G102" t="s">
        <v>16</v>
      </c>
      <c r="H102" t="s">
        <v>204</v>
      </c>
      <c r="I102" s="12">
        <v>329</v>
      </c>
    </row>
    <row r="103" spans="1:9" x14ac:dyDescent="0.3">
      <c r="A103" t="s">
        <v>241</v>
      </c>
      <c r="B103" t="s">
        <v>255</v>
      </c>
      <c r="C103" t="s">
        <v>256</v>
      </c>
      <c r="D103" t="s">
        <v>244</v>
      </c>
      <c r="E103" t="s">
        <v>245</v>
      </c>
      <c r="F103" t="s">
        <v>246</v>
      </c>
      <c r="G103" t="s">
        <v>16</v>
      </c>
      <c r="H103" t="s">
        <v>204</v>
      </c>
      <c r="I103" s="12">
        <v>335</v>
      </c>
    </row>
    <row r="104" spans="1:9" x14ac:dyDescent="0.3">
      <c r="A104" t="s">
        <v>257</v>
      </c>
      <c r="B104" t="s">
        <v>258</v>
      </c>
      <c r="C104" t="s">
        <v>259</v>
      </c>
      <c r="D104" t="s">
        <v>260</v>
      </c>
      <c r="E104" t="s">
        <v>14</v>
      </c>
      <c r="F104" t="s">
        <v>261</v>
      </c>
      <c r="G104" t="s">
        <v>16</v>
      </c>
      <c r="H104" t="s">
        <v>204</v>
      </c>
      <c r="I104" s="12">
        <v>349</v>
      </c>
    </row>
    <row r="105" spans="1:9" x14ac:dyDescent="0.3">
      <c r="A105" t="s">
        <v>257</v>
      </c>
      <c r="B105" t="s">
        <v>262</v>
      </c>
      <c r="C105" t="s">
        <v>263</v>
      </c>
      <c r="D105" t="s">
        <v>260</v>
      </c>
      <c r="E105" t="s">
        <v>14</v>
      </c>
      <c r="F105" t="s">
        <v>261</v>
      </c>
      <c r="G105" t="s">
        <v>16</v>
      </c>
      <c r="H105" t="s">
        <v>204</v>
      </c>
      <c r="I105" s="12">
        <v>372</v>
      </c>
    </row>
    <row r="106" spans="1:9" x14ac:dyDescent="0.3">
      <c r="A106" t="s">
        <v>264</v>
      </c>
      <c r="B106" t="s">
        <v>265</v>
      </c>
      <c r="C106" t="s">
        <v>266</v>
      </c>
      <c r="D106" t="s">
        <v>239</v>
      </c>
      <c r="E106" t="s">
        <v>14</v>
      </c>
      <c r="F106" t="s">
        <v>240</v>
      </c>
      <c r="G106" t="s">
        <v>16</v>
      </c>
      <c r="H106" t="s">
        <v>204</v>
      </c>
      <c r="I106" s="12">
        <v>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6"/>
  <sheetViews>
    <sheetView workbookViewId="0">
      <selection activeCell="H2" sqref="H2"/>
    </sheetView>
  </sheetViews>
  <sheetFormatPr defaultRowHeight="14.4" x14ac:dyDescent="0.3"/>
  <cols>
    <col min="1" max="1" width="18" customWidth="1"/>
    <col min="2" max="2" width="16" customWidth="1"/>
    <col min="3" max="3" width="40.33203125" bestFit="1" customWidth="1"/>
    <col min="4" max="4" width="61" bestFit="1" customWidth="1"/>
    <col min="5" max="5" width="16" customWidth="1"/>
    <col min="6" max="6" width="18.21875" bestFit="1" customWidth="1"/>
    <col min="7" max="9" width="14" customWidth="1"/>
    <col min="10" max="10" width="83.33203125" bestFit="1" customWidth="1"/>
    <col min="11" max="11" width="18" bestFit="1" customWidth="1"/>
    <col min="12" max="12" width="14" customWidth="1"/>
    <col min="13" max="13" width="16" customWidth="1"/>
    <col min="14" max="14" width="60" customWidth="1"/>
  </cols>
  <sheetData>
    <row r="1" spans="1:19" ht="20.399999999999999" customHeight="1" x14ac:dyDescent="0.3">
      <c r="A1" s="6" t="s">
        <v>1</v>
      </c>
      <c r="B1" s="6" t="s">
        <v>0</v>
      </c>
      <c r="C1" s="6" t="s">
        <v>7</v>
      </c>
      <c r="D1" s="6" t="s">
        <v>2</v>
      </c>
      <c r="E1" s="6" t="s">
        <v>434</v>
      </c>
      <c r="F1" s="6" t="s">
        <v>579</v>
      </c>
      <c r="G1" s="6" t="s">
        <v>280</v>
      </c>
      <c r="H1" s="6" t="s">
        <v>436</v>
      </c>
      <c r="I1" s="6" t="s">
        <v>441</v>
      </c>
      <c r="J1" s="6" t="s">
        <v>442</v>
      </c>
      <c r="K1" s="6" t="s">
        <v>438</v>
      </c>
      <c r="L1" s="6" t="s">
        <v>433</v>
      </c>
      <c r="M1" s="6" t="s">
        <v>580</v>
      </c>
      <c r="N1" s="6" t="s">
        <v>581</v>
      </c>
      <c r="O1" s="6"/>
      <c r="P1" s="6"/>
      <c r="Q1" s="6"/>
      <c r="R1" s="6"/>
      <c r="S1" s="6"/>
    </row>
    <row r="2" spans="1:19" ht="15.3" customHeight="1" x14ac:dyDescent="0.3">
      <c r="A2" t="s">
        <v>11</v>
      </c>
      <c r="B2" t="s">
        <v>10</v>
      </c>
      <c r="C2" t="s">
        <v>17</v>
      </c>
      <c r="D2" t="s">
        <v>12</v>
      </c>
      <c r="E2">
        <v>790</v>
      </c>
      <c r="F2" t="s">
        <v>582</v>
      </c>
      <c r="G2" t="s">
        <v>281</v>
      </c>
      <c r="H2" t="s">
        <v>295</v>
      </c>
      <c r="I2" t="s">
        <v>295</v>
      </c>
      <c r="J2" t="s">
        <v>446</v>
      </c>
      <c r="K2" t="s">
        <v>342</v>
      </c>
      <c r="L2">
        <v>80</v>
      </c>
      <c r="M2" t="str">
        <f t="shared" ref="M2:M33" si="0">IF(I2="","NOT EXECUTED",IF(I2="PASS","PASS",IF(I2="IGNORE","N/A","FAIL")))</f>
        <v>PASS</v>
      </c>
      <c r="N2" t="s">
        <v>583</v>
      </c>
    </row>
    <row r="3" spans="1:19" ht="15.3" customHeight="1" x14ac:dyDescent="0.3">
      <c r="A3" t="s">
        <v>19</v>
      </c>
      <c r="B3" t="s">
        <v>18</v>
      </c>
      <c r="C3" t="s">
        <v>17</v>
      </c>
      <c r="D3" t="s">
        <v>20</v>
      </c>
      <c r="E3">
        <v>791</v>
      </c>
      <c r="F3" t="s">
        <v>582</v>
      </c>
      <c r="G3" t="s">
        <v>281</v>
      </c>
      <c r="H3" t="s">
        <v>295</v>
      </c>
      <c r="I3" t="s">
        <v>295</v>
      </c>
      <c r="J3" t="s">
        <v>449</v>
      </c>
      <c r="K3" t="s">
        <v>342</v>
      </c>
      <c r="L3">
        <v>88</v>
      </c>
      <c r="M3" t="str">
        <f t="shared" si="0"/>
        <v>PASS</v>
      </c>
      <c r="N3" t="s">
        <v>583</v>
      </c>
    </row>
    <row r="4" spans="1:19" ht="15.3" customHeight="1" x14ac:dyDescent="0.3">
      <c r="A4" t="s">
        <v>23</v>
      </c>
      <c r="B4" t="s">
        <v>18</v>
      </c>
      <c r="C4" t="s">
        <v>17</v>
      </c>
      <c r="D4" t="s">
        <v>24</v>
      </c>
      <c r="E4">
        <v>792</v>
      </c>
      <c r="F4" t="s">
        <v>582</v>
      </c>
      <c r="G4" t="s">
        <v>281</v>
      </c>
      <c r="H4" t="s">
        <v>295</v>
      </c>
      <c r="I4" t="s">
        <v>295</v>
      </c>
      <c r="J4" t="s">
        <v>450</v>
      </c>
      <c r="K4" t="s">
        <v>342</v>
      </c>
      <c r="L4">
        <v>95</v>
      </c>
      <c r="M4" t="str">
        <f t="shared" si="0"/>
        <v>PASS</v>
      </c>
      <c r="N4" t="s">
        <v>583</v>
      </c>
    </row>
    <row r="5" spans="1:19" ht="15.3" customHeight="1" x14ac:dyDescent="0.3">
      <c r="A5" t="s">
        <v>26</v>
      </c>
      <c r="B5" t="s">
        <v>25</v>
      </c>
      <c r="C5" t="s">
        <v>17</v>
      </c>
      <c r="D5" t="s">
        <v>27</v>
      </c>
      <c r="E5">
        <v>795</v>
      </c>
      <c r="F5" t="s">
        <v>582</v>
      </c>
      <c r="G5" t="s">
        <v>281</v>
      </c>
      <c r="H5" t="s">
        <v>295</v>
      </c>
      <c r="I5" t="s">
        <v>295</v>
      </c>
      <c r="J5" t="s">
        <v>453</v>
      </c>
      <c r="K5" t="s">
        <v>342</v>
      </c>
      <c r="L5">
        <v>115</v>
      </c>
      <c r="M5" t="str">
        <f t="shared" si="0"/>
        <v>PASS</v>
      </c>
      <c r="N5" t="s">
        <v>583</v>
      </c>
    </row>
    <row r="6" spans="1:19" ht="15.3" customHeight="1" x14ac:dyDescent="0.3">
      <c r="A6" t="s">
        <v>30</v>
      </c>
      <c r="B6" t="s">
        <v>25</v>
      </c>
      <c r="C6" t="s">
        <v>17</v>
      </c>
      <c r="D6" t="s">
        <v>31</v>
      </c>
      <c r="E6">
        <v>796</v>
      </c>
      <c r="F6" t="s">
        <v>582</v>
      </c>
      <c r="G6" t="s">
        <v>281</v>
      </c>
      <c r="H6" t="s">
        <v>295</v>
      </c>
      <c r="I6" t="s">
        <v>295</v>
      </c>
      <c r="J6" t="s">
        <v>455</v>
      </c>
      <c r="K6" t="s">
        <v>342</v>
      </c>
      <c r="L6">
        <v>123</v>
      </c>
      <c r="M6" t="str">
        <f t="shared" si="0"/>
        <v>PASS</v>
      </c>
      <c r="N6" t="s">
        <v>583</v>
      </c>
    </row>
    <row r="7" spans="1:19" ht="15.3" customHeight="1" x14ac:dyDescent="0.3">
      <c r="A7" t="s">
        <v>32</v>
      </c>
      <c r="B7" t="s">
        <v>25</v>
      </c>
      <c r="C7" t="s">
        <v>17</v>
      </c>
      <c r="D7" t="s">
        <v>33</v>
      </c>
      <c r="E7">
        <v>797</v>
      </c>
      <c r="F7" t="s">
        <v>582</v>
      </c>
      <c r="G7" t="s">
        <v>281</v>
      </c>
      <c r="H7" t="s">
        <v>295</v>
      </c>
      <c r="I7" t="s">
        <v>295</v>
      </c>
      <c r="J7" t="s">
        <v>456</v>
      </c>
      <c r="K7" t="s">
        <v>342</v>
      </c>
      <c r="L7">
        <v>132</v>
      </c>
      <c r="M7" t="str">
        <f t="shared" si="0"/>
        <v>PASS</v>
      </c>
      <c r="N7" t="s">
        <v>583</v>
      </c>
    </row>
    <row r="8" spans="1:19" ht="15.3" customHeight="1" x14ac:dyDescent="0.3">
      <c r="A8" t="s">
        <v>34</v>
      </c>
      <c r="B8" t="s">
        <v>25</v>
      </c>
      <c r="C8" t="s">
        <v>17</v>
      </c>
      <c r="D8" t="s">
        <v>35</v>
      </c>
      <c r="E8">
        <v>798</v>
      </c>
      <c r="F8" t="s">
        <v>582</v>
      </c>
      <c r="G8" t="s">
        <v>281</v>
      </c>
      <c r="H8" t="s">
        <v>295</v>
      </c>
      <c r="I8" t="s">
        <v>295</v>
      </c>
      <c r="J8" t="s">
        <v>457</v>
      </c>
      <c r="K8" t="s">
        <v>342</v>
      </c>
      <c r="L8">
        <v>140</v>
      </c>
      <c r="M8" t="str">
        <f t="shared" si="0"/>
        <v>PASS</v>
      </c>
      <c r="N8" t="s">
        <v>583</v>
      </c>
    </row>
    <row r="9" spans="1:19" ht="15.3" customHeight="1" x14ac:dyDescent="0.3">
      <c r="A9" t="s">
        <v>37</v>
      </c>
      <c r="B9" t="s">
        <v>36</v>
      </c>
      <c r="C9" t="s">
        <v>17</v>
      </c>
      <c r="D9" t="s">
        <v>38</v>
      </c>
      <c r="E9">
        <v>801</v>
      </c>
      <c r="F9" t="s">
        <v>582</v>
      </c>
      <c r="G9" t="s">
        <v>281</v>
      </c>
      <c r="H9" t="s">
        <v>295</v>
      </c>
      <c r="I9" t="s">
        <v>295</v>
      </c>
      <c r="J9" t="s">
        <v>459</v>
      </c>
      <c r="K9" t="s">
        <v>342</v>
      </c>
      <c r="L9">
        <v>151</v>
      </c>
      <c r="M9" t="str">
        <f t="shared" si="0"/>
        <v>PASS</v>
      </c>
      <c r="N9" t="s">
        <v>583</v>
      </c>
    </row>
    <row r="10" spans="1:19" ht="15.3" customHeight="1" x14ac:dyDescent="0.3">
      <c r="A10" t="s">
        <v>39</v>
      </c>
      <c r="B10" t="s">
        <v>36</v>
      </c>
      <c r="C10" t="s">
        <v>17</v>
      </c>
      <c r="D10" t="s">
        <v>40</v>
      </c>
      <c r="E10">
        <v>802</v>
      </c>
      <c r="F10" t="s">
        <v>582</v>
      </c>
      <c r="G10" t="s">
        <v>281</v>
      </c>
      <c r="H10" t="s">
        <v>295</v>
      </c>
      <c r="I10" t="s">
        <v>295</v>
      </c>
      <c r="J10" t="s">
        <v>460</v>
      </c>
      <c r="K10" t="s">
        <v>342</v>
      </c>
      <c r="L10">
        <v>158</v>
      </c>
      <c r="M10" t="str">
        <f t="shared" si="0"/>
        <v>PASS</v>
      </c>
      <c r="N10" t="s">
        <v>583</v>
      </c>
    </row>
    <row r="11" spans="1:19" ht="15.3" customHeight="1" x14ac:dyDescent="0.3">
      <c r="A11" t="s">
        <v>41</v>
      </c>
      <c r="B11" t="s">
        <v>36</v>
      </c>
      <c r="C11" t="s">
        <v>17</v>
      </c>
      <c r="D11" t="s">
        <v>42</v>
      </c>
      <c r="E11">
        <v>803</v>
      </c>
      <c r="F11" t="s">
        <v>582</v>
      </c>
      <c r="G11" t="s">
        <v>281</v>
      </c>
      <c r="H11" t="s">
        <v>295</v>
      </c>
      <c r="I11" t="s">
        <v>295</v>
      </c>
      <c r="J11" t="s">
        <v>461</v>
      </c>
      <c r="K11" t="s">
        <v>342</v>
      </c>
      <c r="L11">
        <v>165</v>
      </c>
      <c r="M11" t="str">
        <f t="shared" si="0"/>
        <v>PASS</v>
      </c>
      <c r="N11" t="s">
        <v>583</v>
      </c>
    </row>
    <row r="12" spans="1:19" ht="15.3" customHeight="1" x14ac:dyDescent="0.3">
      <c r="A12" t="s">
        <v>43</v>
      </c>
      <c r="B12" t="s">
        <v>36</v>
      </c>
      <c r="C12" t="s">
        <v>17</v>
      </c>
      <c r="D12" t="s">
        <v>44</v>
      </c>
      <c r="E12">
        <v>804</v>
      </c>
      <c r="F12" t="s">
        <v>582</v>
      </c>
      <c r="G12" t="s">
        <v>281</v>
      </c>
      <c r="H12" t="s">
        <v>295</v>
      </c>
      <c r="I12" t="s">
        <v>295</v>
      </c>
      <c r="J12" t="s">
        <v>462</v>
      </c>
      <c r="K12" t="s">
        <v>342</v>
      </c>
      <c r="L12">
        <v>172</v>
      </c>
      <c r="M12" t="str">
        <f t="shared" si="0"/>
        <v>PASS</v>
      </c>
      <c r="N12" t="s">
        <v>583</v>
      </c>
    </row>
    <row r="13" spans="1:19" ht="15.3" customHeight="1" x14ac:dyDescent="0.3">
      <c r="A13" t="s">
        <v>46</v>
      </c>
      <c r="B13" t="s">
        <v>45</v>
      </c>
      <c r="C13" t="s">
        <v>17</v>
      </c>
      <c r="D13" t="s">
        <v>47</v>
      </c>
      <c r="E13">
        <v>807</v>
      </c>
      <c r="F13" t="s">
        <v>582</v>
      </c>
      <c r="G13" t="s">
        <v>281</v>
      </c>
      <c r="H13" t="s">
        <v>295</v>
      </c>
      <c r="I13" t="s">
        <v>295</v>
      </c>
      <c r="J13" t="s">
        <v>464</v>
      </c>
      <c r="K13" t="s">
        <v>342</v>
      </c>
      <c r="L13">
        <v>183</v>
      </c>
      <c r="M13" t="str">
        <f t="shared" si="0"/>
        <v>PASS</v>
      </c>
      <c r="N13" t="s">
        <v>583</v>
      </c>
    </row>
    <row r="14" spans="1:19" ht="15.3" customHeight="1" x14ac:dyDescent="0.3">
      <c r="A14" t="s">
        <v>48</v>
      </c>
      <c r="B14" t="s">
        <v>45</v>
      </c>
      <c r="C14" t="s">
        <v>17</v>
      </c>
      <c r="D14" t="s">
        <v>49</v>
      </c>
      <c r="E14">
        <v>808</v>
      </c>
      <c r="F14" t="s">
        <v>582</v>
      </c>
      <c r="G14" t="s">
        <v>281</v>
      </c>
      <c r="H14" t="s">
        <v>295</v>
      </c>
      <c r="I14" t="s">
        <v>295</v>
      </c>
      <c r="J14" t="s">
        <v>465</v>
      </c>
      <c r="K14" t="s">
        <v>342</v>
      </c>
      <c r="L14">
        <v>190</v>
      </c>
      <c r="M14" t="str">
        <f t="shared" si="0"/>
        <v>PASS</v>
      </c>
      <c r="N14" t="s">
        <v>583</v>
      </c>
    </row>
    <row r="15" spans="1:19" ht="15.3" customHeight="1" x14ac:dyDescent="0.3">
      <c r="A15" t="s">
        <v>50</v>
      </c>
      <c r="B15" t="s">
        <v>45</v>
      </c>
      <c r="C15" t="s">
        <v>17</v>
      </c>
      <c r="D15" t="s">
        <v>51</v>
      </c>
      <c r="E15">
        <v>809</v>
      </c>
      <c r="F15" t="s">
        <v>582</v>
      </c>
      <c r="G15" t="s">
        <v>281</v>
      </c>
      <c r="H15" t="s">
        <v>295</v>
      </c>
      <c r="I15" t="s">
        <v>295</v>
      </c>
      <c r="J15" t="s">
        <v>466</v>
      </c>
      <c r="K15" t="s">
        <v>342</v>
      </c>
      <c r="L15">
        <v>197</v>
      </c>
      <c r="M15" t="str">
        <f t="shared" si="0"/>
        <v>PASS</v>
      </c>
      <c r="N15" t="s">
        <v>583</v>
      </c>
    </row>
    <row r="16" spans="1:19" ht="15.3" customHeight="1" x14ac:dyDescent="0.3">
      <c r="A16" t="s">
        <v>52</v>
      </c>
      <c r="B16" t="s">
        <v>45</v>
      </c>
      <c r="C16" t="s">
        <v>17</v>
      </c>
      <c r="D16" t="s">
        <v>53</v>
      </c>
      <c r="E16">
        <v>810</v>
      </c>
      <c r="F16" t="s">
        <v>582</v>
      </c>
      <c r="G16" t="s">
        <v>281</v>
      </c>
      <c r="H16" t="s">
        <v>295</v>
      </c>
      <c r="I16" t="s">
        <v>295</v>
      </c>
      <c r="J16" t="s">
        <v>467</v>
      </c>
      <c r="K16" t="s">
        <v>342</v>
      </c>
      <c r="L16">
        <v>204</v>
      </c>
      <c r="M16" t="str">
        <f t="shared" si="0"/>
        <v>PASS</v>
      </c>
      <c r="N16" t="s">
        <v>583</v>
      </c>
    </row>
    <row r="17" spans="1:14" ht="15.3" customHeight="1" x14ac:dyDescent="0.3">
      <c r="A17" t="s">
        <v>55</v>
      </c>
      <c r="B17" t="s">
        <v>54</v>
      </c>
      <c r="C17" t="s">
        <v>17</v>
      </c>
      <c r="D17" t="s">
        <v>56</v>
      </c>
      <c r="E17">
        <v>813</v>
      </c>
      <c r="F17" t="s">
        <v>582</v>
      </c>
      <c r="G17" t="s">
        <v>281</v>
      </c>
      <c r="H17" t="s">
        <v>295</v>
      </c>
      <c r="I17" t="s">
        <v>295</v>
      </c>
      <c r="J17" t="s">
        <v>470</v>
      </c>
      <c r="K17" t="s">
        <v>342</v>
      </c>
      <c r="L17">
        <v>217</v>
      </c>
      <c r="M17" t="str">
        <f t="shared" si="0"/>
        <v>PASS</v>
      </c>
      <c r="N17" t="s">
        <v>583</v>
      </c>
    </row>
    <row r="18" spans="1:14" ht="15.3" customHeight="1" x14ac:dyDescent="0.3">
      <c r="A18" t="s">
        <v>58</v>
      </c>
      <c r="B18" t="s">
        <v>54</v>
      </c>
      <c r="C18" t="s">
        <v>17</v>
      </c>
      <c r="D18" t="s">
        <v>59</v>
      </c>
      <c r="E18">
        <v>814</v>
      </c>
      <c r="F18" t="s">
        <v>582</v>
      </c>
      <c r="G18" t="s">
        <v>281</v>
      </c>
      <c r="H18" t="s">
        <v>295</v>
      </c>
      <c r="I18" t="s">
        <v>295</v>
      </c>
      <c r="J18" t="s">
        <v>471</v>
      </c>
      <c r="K18" t="s">
        <v>342</v>
      </c>
      <c r="L18">
        <v>224</v>
      </c>
      <c r="M18" t="str">
        <f t="shared" si="0"/>
        <v>PASS</v>
      </c>
      <c r="N18" t="s">
        <v>583</v>
      </c>
    </row>
    <row r="19" spans="1:14" ht="15.3" customHeight="1" x14ac:dyDescent="0.3">
      <c r="A19" t="s">
        <v>60</v>
      </c>
      <c r="B19" t="s">
        <v>54</v>
      </c>
      <c r="C19" t="s">
        <v>17</v>
      </c>
      <c r="D19" t="s">
        <v>61</v>
      </c>
      <c r="E19">
        <v>815</v>
      </c>
      <c r="F19" t="s">
        <v>582</v>
      </c>
      <c r="G19" t="s">
        <v>281</v>
      </c>
      <c r="H19" t="s">
        <v>295</v>
      </c>
      <c r="I19" t="s">
        <v>295</v>
      </c>
      <c r="J19" t="s">
        <v>472</v>
      </c>
      <c r="K19" t="s">
        <v>342</v>
      </c>
      <c r="L19">
        <v>231</v>
      </c>
      <c r="M19" t="str">
        <f t="shared" si="0"/>
        <v>PASS</v>
      </c>
      <c r="N19" t="s">
        <v>583</v>
      </c>
    </row>
    <row r="20" spans="1:14" ht="15.3" customHeight="1" x14ac:dyDescent="0.3">
      <c r="A20" t="s">
        <v>62</v>
      </c>
      <c r="B20" t="s">
        <v>54</v>
      </c>
      <c r="C20" t="s">
        <v>17</v>
      </c>
      <c r="D20" t="s">
        <v>63</v>
      </c>
      <c r="E20">
        <v>816</v>
      </c>
      <c r="F20" t="s">
        <v>582</v>
      </c>
      <c r="G20" t="s">
        <v>281</v>
      </c>
      <c r="H20" t="s">
        <v>295</v>
      </c>
      <c r="I20" t="s">
        <v>295</v>
      </c>
      <c r="J20" t="s">
        <v>473</v>
      </c>
      <c r="K20" t="s">
        <v>342</v>
      </c>
      <c r="L20">
        <v>238</v>
      </c>
      <c r="M20" t="str">
        <f t="shared" si="0"/>
        <v>PASS</v>
      </c>
      <c r="N20" t="s">
        <v>583</v>
      </c>
    </row>
    <row r="21" spans="1:14" ht="15.3" customHeight="1" x14ac:dyDescent="0.3">
      <c r="A21" t="s">
        <v>64</v>
      </c>
      <c r="B21" t="s">
        <v>54</v>
      </c>
      <c r="C21" t="s">
        <v>17</v>
      </c>
      <c r="D21" t="s">
        <v>65</v>
      </c>
      <c r="E21">
        <v>817</v>
      </c>
      <c r="F21" t="s">
        <v>582</v>
      </c>
      <c r="G21" t="s">
        <v>281</v>
      </c>
      <c r="H21" t="s">
        <v>295</v>
      </c>
      <c r="I21" t="s">
        <v>295</v>
      </c>
      <c r="J21" t="s">
        <v>474</v>
      </c>
      <c r="K21" t="s">
        <v>342</v>
      </c>
      <c r="L21">
        <v>245</v>
      </c>
      <c r="M21" t="str">
        <f t="shared" si="0"/>
        <v>PASS</v>
      </c>
      <c r="N21" t="s">
        <v>583</v>
      </c>
    </row>
    <row r="22" spans="1:14" ht="15.3" customHeight="1" x14ac:dyDescent="0.3">
      <c r="A22" t="s">
        <v>66</v>
      </c>
      <c r="B22" t="s">
        <v>54</v>
      </c>
      <c r="C22" t="s">
        <v>17</v>
      </c>
      <c r="D22" t="s">
        <v>67</v>
      </c>
      <c r="E22">
        <v>818</v>
      </c>
      <c r="F22" t="s">
        <v>582</v>
      </c>
      <c r="G22" t="s">
        <v>281</v>
      </c>
      <c r="H22" t="s">
        <v>295</v>
      </c>
      <c r="I22" t="s">
        <v>295</v>
      </c>
      <c r="J22" t="s">
        <v>475</v>
      </c>
      <c r="K22" t="s">
        <v>342</v>
      </c>
      <c r="L22">
        <v>252</v>
      </c>
      <c r="M22" t="str">
        <f t="shared" si="0"/>
        <v>PASS</v>
      </c>
      <c r="N22" t="s">
        <v>583</v>
      </c>
    </row>
    <row r="23" spans="1:14" ht="15.3" customHeight="1" x14ac:dyDescent="0.3">
      <c r="A23" t="s">
        <v>68</v>
      </c>
      <c r="B23" t="s">
        <v>54</v>
      </c>
      <c r="C23" t="s">
        <v>17</v>
      </c>
      <c r="D23" t="s">
        <v>69</v>
      </c>
      <c r="E23">
        <v>819</v>
      </c>
      <c r="F23" t="s">
        <v>582</v>
      </c>
      <c r="G23" t="s">
        <v>281</v>
      </c>
      <c r="H23" t="s">
        <v>295</v>
      </c>
      <c r="I23" t="s">
        <v>295</v>
      </c>
      <c r="J23" t="s">
        <v>476</v>
      </c>
      <c r="K23" t="s">
        <v>342</v>
      </c>
      <c r="L23">
        <v>259</v>
      </c>
      <c r="M23" t="str">
        <f t="shared" si="0"/>
        <v>PASS</v>
      </c>
      <c r="N23" t="s">
        <v>583</v>
      </c>
    </row>
    <row r="24" spans="1:14" ht="15.3" customHeight="1" x14ac:dyDescent="0.3">
      <c r="A24" t="s">
        <v>71</v>
      </c>
      <c r="B24" t="s">
        <v>70</v>
      </c>
      <c r="C24" t="s">
        <v>17</v>
      </c>
      <c r="D24" t="s">
        <v>72</v>
      </c>
      <c r="E24">
        <v>822</v>
      </c>
      <c r="F24" t="s">
        <v>582</v>
      </c>
      <c r="G24" t="s">
        <v>281</v>
      </c>
      <c r="H24" t="s">
        <v>295</v>
      </c>
      <c r="I24" t="s">
        <v>295</v>
      </c>
      <c r="J24" t="s">
        <v>478</v>
      </c>
      <c r="K24" t="s">
        <v>342</v>
      </c>
      <c r="L24">
        <v>270</v>
      </c>
      <c r="M24" t="str">
        <f t="shared" si="0"/>
        <v>PASS</v>
      </c>
      <c r="N24" t="s">
        <v>583</v>
      </c>
    </row>
    <row r="25" spans="1:14" ht="15.3" customHeight="1" x14ac:dyDescent="0.3">
      <c r="A25" t="s">
        <v>73</v>
      </c>
      <c r="B25" t="s">
        <v>70</v>
      </c>
      <c r="C25" t="s">
        <v>17</v>
      </c>
      <c r="D25" t="s">
        <v>74</v>
      </c>
      <c r="E25">
        <v>823</v>
      </c>
      <c r="F25" t="s">
        <v>582</v>
      </c>
      <c r="G25" t="s">
        <v>281</v>
      </c>
      <c r="H25" t="s">
        <v>295</v>
      </c>
      <c r="I25" t="s">
        <v>295</v>
      </c>
      <c r="J25" t="s">
        <v>479</v>
      </c>
      <c r="K25" t="s">
        <v>342</v>
      </c>
      <c r="L25">
        <v>277</v>
      </c>
      <c r="M25" t="str">
        <f t="shared" si="0"/>
        <v>PASS</v>
      </c>
      <c r="N25" t="s">
        <v>583</v>
      </c>
    </row>
    <row r="26" spans="1:14" ht="15.3" customHeight="1" x14ac:dyDescent="0.3">
      <c r="A26" t="s">
        <v>75</v>
      </c>
      <c r="B26" t="s">
        <v>70</v>
      </c>
      <c r="C26" t="s">
        <v>17</v>
      </c>
      <c r="D26" t="s">
        <v>76</v>
      </c>
      <c r="E26">
        <v>824</v>
      </c>
      <c r="F26" t="s">
        <v>582</v>
      </c>
      <c r="G26" t="s">
        <v>281</v>
      </c>
      <c r="H26" t="s">
        <v>295</v>
      </c>
      <c r="I26" t="s">
        <v>295</v>
      </c>
      <c r="J26" t="s">
        <v>480</v>
      </c>
      <c r="K26" t="s">
        <v>342</v>
      </c>
      <c r="L26">
        <v>284</v>
      </c>
      <c r="M26" t="str">
        <f t="shared" si="0"/>
        <v>PASS</v>
      </c>
      <c r="N26" t="s">
        <v>583</v>
      </c>
    </row>
    <row r="27" spans="1:14" ht="15.3" customHeight="1" x14ac:dyDescent="0.3">
      <c r="A27" t="s">
        <v>77</v>
      </c>
      <c r="B27" t="s">
        <v>70</v>
      </c>
      <c r="C27" t="s">
        <v>17</v>
      </c>
      <c r="D27" t="s">
        <v>78</v>
      </c>
      <c r="E27">
        <v>825</v>
      </c>
      <c r="F27" t="s">
        <v>582</v>
      </c>
      <c r="G27" t="s">
        <v>281</v>
      </c>
      <c r="H27" t="s">
        <v>295</v>
      </c>
      <c r="I27" t="s">
        <v>295</v>
      </c>
      <c r="J27" t="s">
        <v>481</v>
      </c>
      <c r="K27" t="s">
        <v>342</v>
      </c>
      <c r="L27">
        <v>291</v>
      </c>
      <c r="M27" t="str">
        <f t="shared" si="0"/>
        <v>PASS</v>
      </c>
      <c r="N27" t="s">
        <v>583</v>
      </c>
    </row>
    <row r="28" spans="1:14" ht="15.3" customHeight="1" x14ac:dyDescent="0.3">
      <c r="A28" t="s">
        <v>79</v>
      </c>
      <c r="B28" t="s">
        <v>70</v>
      </c>
      <c r="C28" t="s">
        <v>17</v>
      </c>
      <c r="D28" t="s">
        <v>80</v>
      </c>
      <c r="E28">
        <v>826</v>
      </c>
      <c r="F28" t="s">
        <v>582</v>
      </c>
      <c r="G28" t="s">
        <v>281</v>
      </c>
      <c r="H28" t="s">
        <v>295</v>
      </c>
      <c r="I28" t="s">
        <v>295</v>
      </c>
      <c r="J28" t="s">
        <v>482</v>
      </c>
      <c r="K28" t="s">
        <v>342</v>
      </c>
      <c r="L28">
        <v>298</v>
      </c>
      <c r="M28" t="str">
        <f t="shared" si="0"/>
        <v>PASS</v>
      </c>
      <c r="N28" t="s">
        <v>583</v>
      </c>
    </row>
    <row r="29" spans="1:14" ht="15.3" customHeight="1" x14ac:dyDescent="0.3">
      <c r="A29" t="s">
        <v>81</v>
      </c>
      <c r="B29" t="s">
        <v>70</v>
      </c>
      <c r="C29" t="s">
        <v>17</v>
      </c>
      <c r="D29" t="s">
        <v>82</v>
      </c>
      <c r="E29">
        <v>827</v>
      </c>
      <c r="F29" t="s">
        <v>582</v>
      </c>
      <c r="G29" t="s">
        <v>281</v>
      </c>
      <c r="H29" t="s">
        <v>295</v>
      </c>
      <c r="I29" t="s">
        <v>295</v>
      </c>
      <c r="J29" t="s">
        <v>483</v>
      </c>
      <c r="K29" t="s">
        <v>342</v>
      </c>
      <c r="L29">
        <v>305</v>
      </c>
      <c r="M29" t="str">
        <f t="shared" si="0"/>
        <v>PASS</v>
      </c>
      <c r="N29" t="s">
        <v>583</v>
      </c>
    </row>
    <row r="30" spans="1:14" ht="15.3" customHeight="1" x14ac:dyDescent="0.3">
      <c r="A30" t="s">
        <v>83</v>
      </c>
      <c r="B30" t="s">
        <v>70</v>
      </c>
      <c r="C30" t="s">
        <v>17</v>
      </c>
      <c r="D30" t="s">
        <v>84</v>
      </c>
      <c r="E30">
        <v>828</v>
      </c>
      <c r="F30" t="s">
        <v>582</v>
      </c>
      <c r="G30" t="s">
        <v>281</v>
      </c>
      <c r="H30" t="s">
        <v>295</v>
      </c>
      <c r="I30" t="s">
        <v>295</v>
      </c>
      <c r="J30" t="s">
        <v>484</v>
      </c>
      <c r="K30" t="s">
        <v>342</v>
      </c>
      <c r="L30">
        <v>312</v>
      </c>
      <c r="M30" t="str">
        <f t="shared" si="0"/>
        <v>PASS</v>
      </c>
      <c r="N30" t="s">
        <v>583</v>
      </c>
    </row>
    <row r="31" spans="1:14" ht="15.3" customHeight="1" x14ac:dyDescent="0.3">
      <c r="A31" t="s">
        <v>86</v>
      </c>
      <c r="B31" t="s">
        <v>85</v>
      </c>
      <c r="C31" t="s">
        <v>17</v>
      </c>
      <c r="D31" t="s">
        <v>87</v>
      </c>
      <c r="E31">
        <v>831</v>
      </c>
      <c r="F31" t="s">
        <v>582</v>
      </c>
      <c r="G31" t="s">
        <v>281</v>
      </c>
      <c r="H31" t="s">
        <v>295</v>
      </c>
      <c r="I31" t="s">
        <v>295</v>
      </c>
      <c r="J31" t="s">
        <v>486</v>
      </c>
      <c r="K31" t="s">
        <v>342</v>
      </c>
      <c r="L31">
        <v>323</v>
      </c>
      <c r="M31" t="str">
        <f t="shared" si="0"/>
        <v>PASS</v>
      </c>
      <c r="N31" t="s">
        <v>583</v>
      </c>
    </row>
    <row r="32" spans="1:14" ht="15.3" customHeight="1" x14ac:dyDescent="0.3">
      <c r="A32" t="s">
        <v>88</v>
      </c>
      <c r="B32" t="s">
        <v>85</v>
      </c>
      <c r="C32" t="s">
        <v>17</v>
      </c>
      <c r="D32" t="s">
        <v>89</v>
      </c>
      <c r="E32">
        <v>832</v>
      </c>
      <c r="F32" t="s">
        <v>582</v>
      </c>
      <c r="G32" t="s">
        <v>281</v>
      </c>
      <c r="H32" t="s">
        <v>295</v>
      </c>
      <c r="I32" t="s">
        <v>295</v>
      </c>
      <c r="J32" t="s">
        <v>487</v>
      </c>
      <c r="K32" t="s">
        <v>342</v>
      </c>
      <c r="L32">
        <v>330</v>
      </c>
      <c r="M32" t="str">
        <f t="shared" si="0"/>
        <v>PASS</v>
      </c>
      <c r="N32" t="s">
        <v>583</v>
      </c>
    </row>
    <row r="33" spans="1:14" ht="15.3" customHeight="1" x14ac:dyDescent="0.3">
      <c r="A33" t="s">
        <v>90</v>
      </c>
      <c r="B33" t="s">
        <v>85</v>
      </c>
      <c r="C33" t="s">
        <v>17</v>
      </c>
      <c r="D33" t="s">
        <v>91</v>
      </c>
      <c r="E33">
        <v>833</v>
      </c>
      <c r="F33" t="s">
        <v>582</v>
      </c>
      <c r="G33" t="s">
        <v>281</v>
      </c>
      <c r="H33" t="s">
        <v>295</v>
      </c>
      <c r="I33" t="s">
        <v>295</v>
      </c>
      <c r="J33" t="s">
        <v>488</v>
      </c>
      <c r="K33" t="s">
        <v>342</v>
      </c>
      <c r="L33">
        <v>337</v>
      </c>
      <c r="M33" t="str">
        <f t="shared" si="0"/>
        <v>PASS</v>
      </c>
      <c r="N33" t="s">
        <v>583</v>
      </c>
    </row>
    <row r="34" spans="1:14" ht="15.3" customHeight="1" x14ac:dyDescent="0.3">
      <c r="A34" t="s">
        <v>92</v>
      </c>
      <c r="B34" t="s">
        <v>85</v>
      </c>
      <c r="C34" t="s">
        <v>17</v>
      </c>
      <c r="D34" t="s">
        <v>93</v>
      </c>
      <c r="E34">
        <v>834</v>
      </c>
      <c r="F34" t="s">
        <v>582</v>
      </c>
      <c r="G34" t="s">
        <v>281</v>
      </c>
      <c r="H34" t="s">
        <v>295</v>
      </c>
      <c r="I34" t="s">
        <v>295</v>
      </c>
      <c r="J34" t="s">
        <v>489</v>
      </c>
      <c r="K34" t="s">
        <v>342</v>
      </c>
      <c r="L34">
        <v>344</v>
      </c>
      <c r="M34" t="str">
        <f t="shared" ref="M34:M65" si="1">IF(I34="","NOT EXECUTED",IF(I34="PASS","PASS",IF(I34="IGNORE","N/A","FAIL")))</f>
        <v>PASS</v>
      </c>
      <c r="N34" t="s">
        <v>583</v>
      </c>
    </row>
    <row r="35" spans="1:14" ht="15.3" customHeight="1" x14ac:dyDescent="0.3">
      <c r="A35" t="s">
        <v>94</v>
      </c>
      <c r="B35" t="s">
        <v>85</v>
      </c>
      <c r="C35" t="s">
        <v>17</v>
      </c>
      <c r="D35" t="s">
        <v>95</v>
      </c>
      <c r="E35">
        <v>835</v>
      </c>
      <c r="F35" t="s">
        <v>582</v>
      </c>
      <c r="G35" t="s">
        <v>281</v>
      </c>
      <c r="H35" t="s">
        <v>295</v>
      </c>
      <c r="I35" t="s">
        <v>295</v>
      </c>
      <c r="J35" t="s">
        <v>490</v>
      </c>
      <c r="K35" t="s">
        <v>342</v>
      </c>
      <c r="L35">
        <v>351</v>
      </c>
      <c r="M35" t="str">
        <f t="shared" si="1"/>
        <v>PASS</v>
      </c>
      <c r="N35" t="s">
        <v>583</v>
      </c>
    </row>
    <row r="36" spans="1:14" ht="15.3" customHeight="1" x14ac:dyDescent="0.3">
      <c r="A36" t="s">
        <v>96</v>
      </c>
      <c r="B36" t="s">
        <v>85</v>
      </c>
      <c r="C36" t="s">
        <v>17</v>
      </c>
      <c r="D36" t="s">
        <v>97</v>
      </c>
      <c r="E36">
        <v>836</v>
      </c>
      <c r="F36" t="s">
        <v>582</v>
      </c>
      <c r="G36" t="s">
        <v>281</v>
      </c>
      <c r="H36" t="s">
        <v>295</v>
      </c>
      <c r="I36" t="s">
        <v>295</v>
      </c>
      <c r="J36" t="s">
        <v>491</v>
      </c>
      <c r="K36" t="s">
        <v>342</v>
      </c>
      <c r="L36">
        <v>358</v>
      </c>
      <c r="M36" t="str">
        <f t="shared" si="1"/>
        <v>PASS</v>
      </c>
      <c r="N36" t="s">
        <v>583</v>
      </c>
    </row>
    <row r="37" spans="1:14" ht="15.3" customHeight="1" x14ac:dyDescent="0.3">
      <c r="A37" t="s">
        <v>98</v>
      </c>
      <c r="B37" t="s">
        <v>85</v>
      </c>
      <c r="C37" t="s">
        <v>17</v>
      </c>
      <c r="D37" t="s">
        <v>99</v>
      </c>
      <c r="E37">
        <v>837</v>
      </c>
      <c r="F37" t="s">
        <v>582</v>
      </c>
      <c r="G37" t="s">
        <v>281</v>
      </c>
      <c r="H37" t="s">
        <v>295</v>
      </c>
      <c r="I37" t="s">
        <v>295</v>
      </c>
      <c r="J37" t="s">
        <v>492</v>
      </c>
      <c r="K37" t="s">
        <v>342</v>
      </c>
      <c r="L37">
        <v>365</v>
      </c>
      <c r="M37" t="str">
        <f t="shared" si="1"/>
        <v>PASS</v>
      </c>
      <c r="N37" t="s">
        <v>583</v>
      </c>
    </row>
    <row r="38" spans="1:14" ht="15.3" customHeight="1" x14ac:dyDescent="0.3">
      <c r="A38" t="s">
        <v>101</v>
      </c>
      <c r="B38" t="s">
        <v>100</v>
      </c>
      <c r="C38" t="s">
        <v>17</v>
      </c>
      <c r="D38" t="s">
        <v>102</v>
      </c>
      <c r="E38">
        <v>840</v>
      </c>
      <c r="F38" t="s">
        <v>582</v>
      </c>
      <c r="G38" t="s">
        <v>281</v>
      </c>
      <c r="H38" t="s">
        <v>295</v>
      </c>
      <c r="I38" t="s">
        <v>295</v>
      </c>
      <c r="J38" t="s">
        <v>495</v>
      </c>
      <c r="K38" t="s">
        <v>342</v>
      </c>
      <c r="L38">
        <v>381</v>
      </c>
      <c r="M38" t="str">
        <f t="shared" si="1"/>
        <v>PASS</v>
      </c>
      <c r="N38" t="s">
        <v>583</v>
      </c>
    </row>
    <row r="39" spans="1:14" ht="15.3" customHeight="1" x14ac:dyDescent="0.3">
      <c r="A39" t="s">
        <v>104</v>
      </c>
      <c r="B39" t="s">
        <v>100</v>
      </c>
      <c r="C39" t="s">
        <v>17</v>
      </c>
      <c r="D39" t="s">
        <v>105</v>
      </c>
      <c r="E39">
        <v>841</v>
      </c>
      <c r="F39" t="s">
        <v>582</v>
      </c>
      <c r="G39" t="s">
        <v>281</v>
      </c>
      <c r="H39" t="s">
        <v>295</v>
      </c>
      <c r="I39" t="s">
        <v>295</v>
      </c>
      <c r="J39" t="s">
        <v>496</v>
      </c>
      <c r="K39" t="s">
        <v>342</v>
      </c>
      <c r="L39">
        <v>388</v>
      </c>
      <c r="M39" t="str">
        <f t="shared" si="1"/>
        <v>PASS</v>
      </c>
      <c r="N39" t="s">
        <v>583</v>
      </c>
    </row>
    <row r="40" spans="1:14" ht="15.3" customHeight="1" x14ac:dyDescent="0.3">
      <c r="A40" t="s">
        <v>106</v>
      </c>
      <c r="B40" t="s">
        <v>100</v>
      </c>
      <c r="C40" t="s">
        <v>17</v>
      </c>
      <c r="D40" t="s">
        <v>107</v>
      </c>
      <c r="E40">
        <v>842</v>
      </c>
      <c r="F40" t="s">
        <v>582</v>
      </c>
      <c r="G40" t="s">
        <v>281</v>
      </c>
      <c r="H40" t="s">
        <v>295</v>
      </c>
      <c r="I40" t="s">
        <v>295</v>
      </c>
      <c r="J40" t="s">
        <v>497</v>
      </c>
      <c r="K40" t="s">
        <v>342</v>
      </c>
      <c r="L40">
        <v>395</v>
      </c>
      <c r="M40" t="str">
        <f t="shared" si="1"/>
        <v>PASS</v>
      </c>
      <c r="N40" t="s">
        <v>583</v>
      </c>
    </row>
    <row r="41" spans="1:14" ht="15.3" customHeight="1" x14ac:dyDescent="0.3">
      <c r="A41" t="s">
        <v>108</v>
      </c>
      <c r="B41" t="s">
        <v>100</v>
      </c>
      <c r="C41" t="s">
        <v>17</v>
      </c>
      <c r="D41" t="s">
        <v>109</v>
      </c>
      <c r="E41">
        <v>843</v>
      </c>
      <c r="F41" t="s">
        <v>582</v>
      </c>
      <c r="G41" t="s">
        <v>281</v>
      </c>
      <c r="H41" t="s">
        <v>295</v>
      </c>
      <c r="I41" t="s">
        <v>295</v>
      </c>
      <c r="J41" t="s">
        <v>498</v>
      </c>
      <c r="K41" t="s">
        <v>342</v>
      </c>
      <c r="L41">
        <v>402</v>
      </c>
      <c r="M41" t="str">
        <f t="shared" si="1"/>
        <v>PASS</v>
      </c>
      <c r="N41" t="s">
        <v>583</v>
      </c>
    </row>
    <row r="42" spans="1:14" ht="15.3" customHeight="1" x14ac:dyDescent="0.3">
      <c r="A42" t="s">
        <v>111</v>
      </c>
      <c r="B42" t="s">
        <v>110</v>
      </c>
      <c r="C42" t="s">
        <v>17</v>
      </c>
      <c r="D42" t="s">
        <v>112</v>
      </c>
      <c r="E42">
        <v>846</v>
      </c>
      <c r="F42" t="s">
        <v>582</v>
      </c>
      <c r="G42" t="s">
        <v>281</v>
      </c>
      <c r="H42" t="s">
        <v>295</v>
      </c>
      <c r="I42" t="s">
        <v>295</v>
      </c>
      <c r="J42" t="s">
        <v>500</v>
      </c>
      <c r="K42" t="s">
        <v>342</v>
      </c>
      <c r="L42">
        <v>413</v>
      </c>
      <c r="M42" t="str">
        <f t="shared" si="1"/>
        <v>PASS</v>
      </c>
      <c r="N42" t="s">
        <v>583</v>
      </c>
    </row>
    <row r="43" spans="1:14" x14ac:dyDescent="0.3">
      <c r="A43" t="s">
        <v>113</v>
      </c>
      <c r="B43" t="s">
        <v>110</v>
      </c>
      <c r="C43" t="s">
        <v>17</v>
      </c>
      <c r="D43" t="s">
        <v>114</v>
      </c>
      <c r="E43">
        <v>847</v>
      </c>
      <c r="F43" t="s">
        <v>582</v>
      </c>
      <c r="G43" t="s">
        <v>281</v>
      </c>
      <c r="H43" t="s">
        <v>295</v>
      </c>
      <c r="I43" t="s">
        <v>295</v>
      </c>
      <c r="J43" t="s">
        <v>501</v>
      </c>
      <c r="K43" t="s">
        <v>342</v>
      </c>
      <c r="L43">
        <v>420</v>
      </c>
      <c r="M43" t="str">
        <f t="shared" si="1"/>
        <v>PASS</v>
      </c>
      <c r="N43" t="s">
        <v>583</v>
      </c>
    </row>
    <row r="44" spans="1:14" x14ac:dyDescent="0.3">
      <c r="A44" t="s">
        <v>115</v>
      </c>
      <c r="B44" t="s">
        <v>110</v>
      </c>
      <c r="C44" t="s">
        <v>17</v>
      </c>
      <c r="D44" t="s">
        <v>116</v>
      </c>
      <c r="E44">
        <v>848</v>
      </c>
      <c r="F44" t="s">
        <v>582</v>
      </c>
      <c r="G44" t="s">
        <v>281</v>
      </c>
      <c r="H44" t="s">
        <v>295</v>
      </c>
      <c r="I44" t="s">
        <v>295</v>
      </c>
      <c r="J44" t="s">
        <v>502</v>
      </c>
      <c r="K44" t="s">
        <v>342</v>
      </c>
      <c r="L44">
        <v>427</v>
      </c>
      <c r="M44" t="str">
        <f t="shared" si="1"/>
        <v>PASS</v>
      </c>
      <c r="N44" t="s">
        <v>583</v>
      </c>
    </row>
    <row r="45" spans="1:14" x14ac:dyDescent="0.3">
      <c r="A45" t="s">
        <v>117</v>
      </c>
      <c r="B45" t="s">
        <v>110</v>
      </c>
      <c r="C45" t="s">
        <v>17</v>
      </c>
      <c r="D45" t="s">
        <v>118</v>
      </c>
      <c r="E45">
        <v>849</v>
      </c>
      <c r="F45" t="s">
        <v>582</v>
      </c>
      <c r="G45" t="s">
        <v>281</v>
      </c>
      <c r="H45" t="s">
        <v>295</v>
      </c>
      <c r="I45" t="s">
        <v>295</v>
      </c>
      <c r="J45" t="s">
        <v>503</v>
      </c>
      <c r="K45" t="s">
        <v>342</v>
      </c>
      <c r="L45">
        <v>434</v>
      </c>
      <c r="M45" t="str">
        <f t="shared" si="1"/>
        <v>PASS</v>
      </c>
      <c r="N45" t="s">
        <v>583</v>
      </c>
    </row>
    <row r="46" spans="1:14" x14ac:dyDescent="0.3">
      <c r="A46" t="s">
        <v>120</v>
      </c>
      <c r="B46" t="s">
        <v>119</v>
      </c>
      <c r="C46" t="s">
        <v>17</v>
      </c>
      <c r="D46" t="s">
        <v>121</v>
      </c>
      <c r="E46">
        <v>852</v>
      </c>
      <c r="F46" t="s">
        <v>582</v>
      </c>
      <c r="G46" t="s">
        <v>281</v>
      </c>
      <c r="H46" t="s">
        <v>295</v>
      </c>
      <c r="I46" t="s">
        <v>295</v>
      </c>
      <c r="J46" t="s">
        <v>505</v>
      </c>
      <c r="K46" t="s">
        <v>342</v>
      </c>
      <c r="L46">
        <v>445</v>
      </c>
      <c r="M46" t="str">
        <f t="shared" si="1"/>
        <v>PASS</v>
      </c>
      <c r="N46" t="s">
        <v>583</v>
      </c>
    </row>
    <row r="47" spans="1:14" x14ac:dyDescent="0.3">
      <c r="A47" t="s">
        <v>122</v>
      </c>
      <c r="B47" t="s">
        <v>119</v>
      </c>
      <c r="C47" t="s">
        <v>17</v>
      </c>
      <c r="D47" t="s">
        <v>123</v>
      </c>
      <c r="E47">
        <v>853</v>
      </c>
      <c r="F47" t="s">
        <v>582</v>
      </c>
      <c r="G47" t="s">
        <v>281</v>
      </c>
      <c r="H47" t="s">
        <v>295</v>
      </c>
      <c r="I47" t="s">
        <v>295</v>
      </c>
      <c r="J47" t="s">
        <v>506</v>
      </c>
      <c r="K47" t="s">
        <v>342</v>
      </c>
      <c r="L47">
        <v>452</v>
      </c>
      <c r="M47" t="str">
        <f t="shared" si="1"/>
        <v>PASS</v>
      </c>
      <c r="N47" t="s">
        <v>583</v>
      </c>
    </row>
    <row r="48" spans="1:14" x14ac:dyDescent="0.3">
      <c r="A48" t="s">
        <v>124</v>
      </c>
      <c r="B48" t="s">
        <v>119</v>
      </c>
      <c r="C48" t="s">
        <v>17</v>
      </c>
      <c r="D48" t="s">
        <v>125</v>
      </c>
      <c r="E48">
        <v>854</v>
      </c>
      <c r="F48" t="s">
        <v>582</v>
      </c>
      <c r="G48" t="s">
        <v>281</v>
      </c>
      <c r="H48" t="s">
        <v>295</v>
      </c>
      <c r="I48" t="s">
        <v>295</v>
      </c>
      <c r="J48" t="s">
        <v>507</v>
      </c>
      <c r="K48" t="s">
        <v>342</v>
      </c>
      <c r="L48">
        <v>459</v>
      </c>
      <c r="M48" t="str">
        <f t="shared" si="1"/>
        <v>PASS</v>
      </c>
      <c r="N48" t="s">
        <v>583</v>
      </c>
    </row>
    <row r="49" spans="1:14" x14ac:dyDescent="0.3">
      <c r="A49" t="s">
        <v>126</v>
      </c>
      <c r="B49" t="s">
        <v>119</v>
      </c>
      <c r="C49" t="s">
        <v>17</v>
      </c>
      <c r="D49" t="s">
        <v>127</v>
      </c>
      <c r="E49">
        <v>855</v>
      </c>
      <c r="F49" t="s">
        <v>582</v>
      </c>
      <c r="G49" t="s">
        <v>281</v>
      </c>
      <c r="H49" t="s">
        <v>295</v>
      </c>
      <c r="I49" t="s">
        <v>295</v>
      </c>
      <c r="J49" t="s">
        <v>508</v>
      </c>
      <c r="K49" t="s">
        <v>342</v>
      </c>
      <c r="L49">
        <v>466</v>
      </c>
      <c r="M49" t="str">
        <f t="shared" si="1"/>
        <v>PASS</v>
      </c>
      <c r="N49" t="s">
        <v>583</v>
      </c>
    </row>
    <row r="50" spans="1:14" x14ac:dyDescent="0.3">
      <c r="A50" t="s">
        <v>129</v>
      </c>
      <c r="B50" t="s">
        <v>128</v>
      </c>
      <c r="C50" t="s">
        <v>17</v>
      </c>
      <c r="D50" t="s">
        <v>130</v>
      </c>
      <c r="E50">
        <v>858</v>
      </c>
      <c r="F50" t="s">
        <v>582</v>
      </c>
      <c r="G50" t="s">
        <v>281</v>
      </c>
      <c r="H50" t="s">
        <v>295</v>
      </c>
      <c r="I50" t="s">
        <v>295</v>
      </c>
      <c r="J50" t="s">
        <v>511</v>
      </c>
      <c r="K50" t="s">
        <v>342</v>
      </c>
      <c r="L50">
        <v>482</v>
      </c>
      <c r="M50" t="str">
        <f t="shared" si="1"/>
        <v>PASS</v>
      </c>
      <c r="N50" t="s">
        <v>583</v>
      </c>
    </row>
    <row r="51" spans="1:14" x14ac:dyDescent="0.3">
      <c r="A51" t="s">
        <v>133</v>
      </c>
      <c r="B51" t="s">
        <v>128</v>
      </c>
      <c r="C51" t="s">
        <v>17</v>
      </c>
      <c r="D51" t="s">
        <v>134</v>
      </c>
      <c r="E51">
        <v>859</v>
      </c>
      <c r="F51" t="s">
        <v>582</v>
      </c>
      <c r="G51" t="s">
        <v>281</v>
      </c>
      <c r="H51" t="s">
        <v>295</v>
      </c>
      <c r="I51" t="s">
        <v>295</v>
      </c>
      <c r="J51" t="s">
        <v>512</v>
      </c>
      <c r="K51" t="s">
        <v>342</v>
      </c>
      <c r="L51">
        <v>489</v>
      </c>
      <c r="M51" t="str">
        <f t="shared" si="1"/>
        <v>PASS</v>
      </c>
      <c r="N51" t="s">
        <v>583</v>
      </c>
    </row>
    <row r="52" spans="1:14" x14ac:dyDescent="0.3">
      <c r="A52" t="s">
        <v>135</v>
      </c>
      <c r="B52" t="s">
        <v>128</v>
      </c>
      <c r="C52" t="s">
        <v>17</v>
      </c>
      <c r="D52" t="s">
        <v>136</v>
      </c>
      <c r="E52">
        <v>860</v>
      </c>
      <c r="F52" t="s">
        <v>582</v>
      </c>
      <c r="G52" t="s">
        <v>281</v>
      </c>
      <c r="H52" t="s">
        <v>295</v>
      </c>
      <c r="I52" t="s">
        <v>295</v>
      </c>
      <c r="J52" t="s">
        <v>513</v>
      </c>
      <c r="K52" t="s">
        <v>342</v>
      </c>
      <c r="L52">
        <v>497</v>
      </c>
      <c r="M52" t="str">
        <f t="shared" si="1"/>
        <v>PASS</v>
      </c>
      <c r="N52" t="s">
        <v>583</v>
      </c>
    </row>
    <row r="53" spans="1:14" x14ac:dyDescent="0.3">
      <c r="A53" t="s">
        <v>138</v>
      </c>
      <c r="B53" t="s">
        <v>137</v>
      </c>
      <c r="C53" t="s">
        <v>17</v>
      </c>
      <c r="D53" t="s">
        <v>139</v>
      </c>
      <c r="E53">
        <v>863</v>
      </c>
      <c r="F53" t="s">
        <v>582</v>
      </c>
      <c r="G53" t="s">
        <v>281</v>
      </c>
      <c r="H53" t="s">
        <v>295</v>
      </c>
      <c r="I53" t="s">
        <v>295</v>
      </c>
      <c r="J53" t="s">
        <v>516</v>
      </c>
      <c r="K53" t="s">
        <v>342</v>
      </c>
      <c r="L53">
        <v>511</v>
      </c>
      <c r="M53" t="str">
        <f t="shared" si="1"/>
        <v>PASS</v>
      </c>
      <c r="N53" t="s">
        <v>583</v>
      </c>
    </row>
    <row r="54" spans="1:14" x14ac:dyDescent="0.3">
      <c r="A54" t="s">
        <v>142</v>
      </c>
      <c r="B54" t="s">
        <v>137</v>
      </c>
      <c r="C54" t="s">
        <v>17</v>
      </c>
      <c r="D54" t="s">
        <v>143</v>
      </c>
      <c r="E54">
        <v>864</v>
      </c>
      <c r="F54" t="s">
        <v>582</v>
      </c>
      <c r="G54" t="s">
        <v>281</v>
      </c>
      <c r="H54" t="s">
        <v>295</v>
      </c>
      <c r="I54" t="s">
        <v>295</v>
      </c>
      <c r="J54" t="s">
        <v>517</v>
      </c>
      <c r="K54" t="s">
        <v>342</v>
      </c>
      <c r="L54">
        <v>519</v>
      </c>
      <c r="M54" t="str">
        <f t="shared" si="1"/>
        <v>PASS</v>
      </c>
      <c r="N54" t="s">
        <v>583</v>
      </c>
    </row>
    <row r="55" spans="1:14" x14ac:dyDescent="0.3">
      <c r="A55" t="s">
        <v>144</v>
      </c>
      <c r="B55" t="s">
        <v>137</v>
      </c>
      <c r="C55" t="s">
        <v>17</v>
      </c>
      <c r="D55" t="s">
        <v>145</v>
      </c>
      <c r="E55">
        <v>865</v>
      </c>
      <c r="F55" t="s">
        <v>582</v>
      </c>
      <c r="G55" t="s">
        <v>281</v>
      </c>
      <c r="H55" t="s">
        <v>295</v>
      </c>
      <c r="I55" t="s">
        <v>295</v>
      </c>
      <c r="J55" t="s">
        <v>518</v>
      </c>
      <c r="K55" t="s">
        <v>342</v>
      </c>
      <c r="L55">
        <v>527</v>
      </c>
      <c r="M55" t="str">
        <f t="shared" si="1"/>
        <v>PASS</v>
      </c>
      <c r="N55" t="s">
        <v>583</v>
      </c>
    </row>
    <row r="56" spans="1:14" x14ac:dyDescent="0.3">
      <c r="A56" t="s">
        <v>147</v>
      </c>
      <c r="B56" t="s">
        <v>146</v>
      </c>
      <c r="C56" t="s">
        <v>17</v>
      </c>
      <c r="D56" t="s">
        <v>148</v>
      </c>
      <c r="E56">
        <v>868</v>
      </c>
      <c r="F56" t="s">
        <v>582</v>
      </c>
      <c r="G56" t="s">
        <v>281</v>
      </c>
      <c r="H56" t="s">
        <v>295</v>
      </c>
      <c r="I56" t="s">
        <v>295</v>
      </c>
      <c r="J56" t="s">
        <v>520</v>
      </c>
      <c r="K56" t="s">
        <v>342</v>
      </c>
      <c r="L56">
        <v>543</v>
      </c>
      <c r="M56" t="str">
        <f t="shared" si="1"/>
        <v>PASS</v>
      </c>
      <c r="N56" t="s">
        <v>583</v>
      </c>
    </row>
    <row r="57" spans="1:14" x14ac:dyDescent="0.3">
      <c r="A57" t="s">
        <v>151</v>
      </c>
      <c r="B57" t="s">
        <v>146</v>
      </c>
      <c r="C57" t="s">
        <v>17</v>
      </c>
      <c r="D57" t="s">
        <v>152</v>
      </c>
      <c r="E57">
        <v>869</v>
      </c>
      <c r="F57" t="s">
        <v>582</v>
      </c>
      <c r="G57" t="s">
        <v>281</v>
      </c>
      <c r="H57" t="s">
        <v>295</v>
      </c>
      <c r="I57" t="s">
        <v>295</v>
      </c>
      <c r="J57" t="s">
        <v>521</v>
      </c>
      <c r="K57" t="s">
        <v>342</v>
      </c>
      <c r="L57">
        <v>554</v>
      </c>
      <c r="M57" t="str">
        <f t="shared" si="1"/>
        <v>PASS</v>
      </c>
      <c r="N57" t="s">
        <v>583</v>
      </c>
    </row>
    <row r="58" spans="1:14" x14ac:dyDescent="0.3">
      <c r="A58" t="s">
        <v>153</v>
      </c>
      <c r="B58" t="s">
        <v>146</v>
      </c>
      <c r="C58" t="s">
        <v>17</v>
      </c>
      <c r="D58" t="s">
        <v>154</v>
      </c>
      <c r="E58">
        <v>870</v>
      </c>
      <c r="F58" t="s">
        <v>582</v>
      </c>
      <c r="G58" t="s">
        <v>281</v>
      </c>
      <c r="H58" t="s">
        <v>295</v>
      </c>
      <c r="I58" t="s">
        <v>295</v>
      </c>
      <c r="J58" t="s">
        <v>522</v>
      </c>
      <c r="K58" t="s">
        <v>342</v>
      </c>
      <c r="L58">
        <v>568</v>
      </c>
      <c r="M58" t="str">
        <f t="shared" si="1"/>
        <v>PASS</v>
      </c>
      <c r="N58" t="s">
        <v>583</v>
      </c>
    </row>
    <row r="59" spans="1:14" x14ac:dyDescent="0.3">
      <c r="A59" t="s">
        <v>155</v>
      </c>
      <c r="B59" t="s">
        <v>146</v>
      </c>
      <c r="C59" t="s">
        <v>17</v>
      </c>
      <c r="D59" t="s">
        <v>156</v>
      </c>
      <c r="E59">
        <v>871</v>
      </c>
      <c r="F59" t="s">
        <v>582</v>
      </c>
      <c r="G59" t="s">
        <v>281</v>
      </c>
      <c r="H59" t="s">
        <v>295</v>
      </c>
      <c r="I59" t="s">
        <v>295</v>
      </c>
      <c r="J59" t="s">
        <v>523</v>
      </c>
      <c r="K59" t="s">
        <v>342</v>
      </c>
      <c r="L59">
        <v>582</v>
      </c>
      <c r="M59" t="str">
        <f t="shared" si="1"/>
        <v>PASS</v>
      </c>
      <c r="N59" t="s">
        <v>583</v>
      </c>
    </row>
    <row r="60" spans="1:14" x14ac:dyDescent="0.3">
      <c r="A60" t="s">
        <v>158</v>
      </c>
      <c r="B60" t="s">
        <v>157</v>
      </c>
      <c r="C60" t="s">
        <v>17</v>
      </c>
      <c r="D60" t="s">
        <v>159</v>
      </c>
      <c r="E60">
        <v>872</v>
      </c>
      <c r="F60" t="s">
        <v>582</v>
      </c>
      <c r="G60" t="s">
        <v>281</v>
      </c>
      <c r="H60" t="s">
        <v>295</v>
      </c>
      <c r="I60" t="s">
        <v>295</v>
      </c>
      <c r="J60" t="s">
        <v>525</v>
      </c>
      <c r="K60" t="s">
        <v>342</v>
      </c>
      <c r="L60">
        <v>597</v>
      </c>
      <c r="M60" t="str">
        <f t="shared" si="1"/>
        <v>PASS</v>
      </c>
      <c r="N60" t="s">
        <v>583</v>
      </c>
    </row>
    <row r="61" spans="1:14" x14ac:dyDescent="0.3">
      <c r="A61" t="s">
        <v>163</v>
      </c>
      <c r="B61" t="s">
        <v>162</v>
      </c>
      <c r="C61" t="s">
        <v>17</v>
      </c>
      <c r="D61" t="s">
        <v>164</v>
      </c>
      <c r="E61">
        <v>873</v>
      </c>
      <c r="F61" t="s">
        <v>582</v>
      </c>
      <c r="G61" t="s">
        <v>281</v>
      </c>
      <c r="H61" t="s">
        <v>295</v>
      </c>
      <c r="I61" t="s">
        <v>295</v>
      </c>
      <c r="J61" t="s">
        <v>527</v>
      </c>
      <c r="K61" t="s">
        <v>342</v>
      </c>
      <c r="L61">
        <v>611</v>
      </c>
      <c r="M61" t="str">
        <f t="shared" si="1"/>
        <v>PASS</v>
      </c>
      <c r="N61" t="s">
        <v>583</v>
      </c>
    </row>
    <row r="62" spans="1:14" x14ac:dyDescent="0.3">
      <c r="A62" t="s">
        <v>167</v>
      </c>
      <c r="B62" t="s">
        <v>146</v>
      </c>
      <c r="C62" t="s">
        <v>17</v>
      </c>
      <c r="D62" t="s">
        <v>168</v>
      </c>
      <c r="E62">
        <v>874</v>
      </c>
      <c r="F62" t="s">
        <v>582</v>
      </c>
      <c r="G62" t="s">
        <v>281</v>
      </c>
      <c r="H62" t="s">
        <v>295</v>
      </c>
      <c r="I62" t="s">
        <v>295</v>
      </c>
      <c r="J62" t="s">
        <v>528</v>
      </c>
      <c r="K62" t="s">
        <v>342</v>
      </c>
      <c r="L62">
        <v>629</v>
      </c>
      <c r="M62" t="str">
        <f t="shared" si="1"/>
        <v>PASS</v>
      </c>
      <c r="N62" t="s">
        <v>583</v>
      </c>
    </row>
    <row r="63" spans="1:14" x14ac:dyDescent="0.3">
      <c r="A63" t="s">
        <v>170</v>
      </c>
      <c r="B63" t="s">
        <v>169</v>
      </c>
      <c r="C63" t="s">
        <v>17</v>
      </c>
      <c r="D63" t="s">
        <v>171</v>
      </c>
      <c r="E63">
        <v>877</v>
      </c>
      <c r="F63" t="s">
        <v>582</v>
      </c>
      <c r="G63" t="s">
        <v>281</v>
      </c>
      <c r="H63" t="s">
        <v>295</v>
      </c>
      <c r="I63" t="s">
        <v>295</v>
      </c>
      <c r="J63" t="s">
        <v>530</v>
      </c>
      <c r="K63" t="s">
        <v>342</v>
      </c>
      <c r="L63">
        <v>647</v>
      </c>
      <c r="M63" t="str">
        <f t="shared" si="1"/>
        <v>PASS</v>
      </c>
      <c r="N63" t="s">
        <v>583</v>
      </c>
    </row>
    <row r="64" spans="1:14" x14ac:dyDescent="0.3">
      <c r="A64" t="s">
        <v>174</v>
      </c>
      <c r="B64" t="s">
        <v>169</v>
      </c>
      <c r="C64" t="s">
        <v>17</v>
      </c>
      <c r="D64" t="s">
        <v>175</v>
      </c>
      <c r="E64">
        <v>878</v>
      </c>
      <c r="F64" t="s">
        <v>582</v>
      </c>
      <c r="G64" t="s">
        <v>281</v>
      </c>
      <c r="H64" t="s">
        <v>295</v>
      </c>
      <c r="I64" t="s">
        <v>295</v>
      </c>
      <c r="J64" t="s">
        <v>531</v>
      </c>
      <c r="K64" t="s">
        <v>342</v>
      </c>
      <c r="L64">
        <v>656</v>
      </c>
      <c r="M64" t="str">
        <f t="shared" si="1"/>
        <v>PASS</v>
      </c>
      <c r="N64" t="s">
        <v>583</v>
      </c>
    </row>
    <row r="65" spans="1:14" x14ac:dyDescent="0.3">
      <c r="A65" t="s">
        <v>176</v>
      </c>
      <c r="B65" t="s">
        <v>169</v>
      </c>
      <c r="C65" t="s">
        <v>17</v>
      </c>
      <c r="D65" t="s">
        <v>177</v>
      </c>
      <c r="E65">
        <v>879</v>
      </c>
      <c r="F65" t="s">
        <v>582</v>
      </c>
      <c r="G65" t="s">
        <v>281</v>
      </c>
      <c r="H65" t="s">
        <v>295</v>
      </c>
      <c r="I65" t="s">
        <v>295</v>
      </c>
      <c r="J65" t="s">
        <v>532</v>
      </c>
      <c r="K65" t="s">
        <v>342</v>
      </c>
      <c r="L65">
        <v>665</v>
      </c>
      <c r="M65" t="str">
        <f t="shared" si="1"/>
        <v>PASS</v>
      </c>
      <c r="N65" t="s">
        <v>583</v>
      </c>
    </row>
    <row r="66" spans="1:14" x14ac:dyDescent="0.3">
      <c r="A66" t="s">
        <v>178</v>
      </c>
      <c r="B66" t="s">
        <v>169</v>
      </c>
      <c r="C66" t="s">
        <v>17</v>
      </c>
      <c r="D66" t="s">
        <v>179</v>
      </c>
      <c r="E66">
        <v>880</v>
      </c>
      <c r="F66" t="s">
        <v>582</v>
      </c>
      <c r="G66" t="s">
        <v>281</v>
      </c>
      <c r="H66" t="s">
        <v>295</v>
      </c>
      <c r="I66" t="s">
        <v>295</v>
      </c>
      <c r="J66" t="s">
        <v>533</v>
      </c>
      <c r="K66" t="s">
        <v>342</v>
      </c>
      <c r="L66">
        <v>674</v>
      </c>
      <c r="M66" t="str">
        <f t="shared" ref="M66:M97" si="2">IF(I66="","NOT EXECUTED",IF(I66="PASS","PASS",IF(I66="IGNORE","N/A","FAIL")))</f>
        <v>PASS</v>
      </c>
      <c r="N66" t="s">
        <v>583</v>
      </c>
    </row>
    <row r="67" spans="1:14" x14ac:dyDescent="0.3">
      <c r="A67" t="s">
        <v>180</v>
      </c>
      <c r="B67" t="s">
        <v>169</v>
      </c>
      <c r="C67" t="s">
        <v>17</v>
      </c>
      <c r="D67" t="s">
        <v>181</v>
      </c>
      <c r="E67">
        <v>881</v>
      </c>
      <c r="F67" t="s">
        <v>582</v>
      </c>
      <c r="G67" t="s">
        <v>281</v>
      </c>
      <c r="H67" t="s">
        <v>295</v>
      </c>
      <c r="I67" t="s">
        <v>295</v>
      </c>
      <c r="J67" t="s">
        <v>534</v>
      </c>
      <c r="K67" t="s">
        <v>342</v>
      </c>
      <c r="L67">
        <v>683</v>
      </c>
      <c r="M67" t="str">
        <f t="shared" si="2"/>
        <v>PASS</v>
      </c>
      <c r="N67" t="s">
        <v>583</v>
      </c>
    </row>
    <row r="68" spans="1:14" x14ac:dyDescent="0.3">
      <c r="A68" t="s">
        <v>182</v>
      </c>
      <c r="B68" t="s">
        <v>36</v>
      </c>
      <c r="C68" t="s">
        <v>17</v>
      </c>
      <c r="D68" t="s">
        <v>183</v>
      </c>
      <c r="E68">
        <v>884</v>
      </c>
      <c r="F68" t="s">
        <v>582</v>
      </c>
      <c r="G68" t="s">
        <v>281</v>
      </c>
      <c r="H68" t="s">
        <v>295</v>
      </c>
      <c r="I68" t="s">
        <v>295</v>
      </c>
      <c r="J68" t="s">
        <v>535</v>
      </c>
      <c r="K68" t="s">
        <v>342</v>
      </c>
      <c r="L68">
        <v>699</v>
      </c>
      <c r="M68" t="str">
        <f t="shared" si="2"/>
        <v>PASS</v>
      </c>
      <c r="N68" t="s">
        <v>583</v>
      </c>
    </row>
    <row r="69" spans="1:14" x14ac:dyDescent="0.3">
      <c r="A69" t="s">
        <v>184</v>
      </c>
      <c r="B69" t="s">
        <v>36</v>
      </c>
      <c r="C69" t="s">
        <v>17</v>
      </c>
      <c r="D69" t="s">
        <v>185</v>
      </c>
      <c r="E69">
        <v>885</v>
      </c>
      <c r="F69" t="s">
        <v>582</v>
      </c>
      <c r="G69" t="s">
        <v>281</v>
      </c>
      <c r="H69" t="s">
        <v>295</v>
      </c>
      <c r="I69" t="s">
        <v>295</v>
      </c>
      <c r="J69" t="s">
        <v>536</v>
      </c>
      <c r="K69" t="s">
        <v>342</v>
      </c>
      <c r="L69">
        <v>707</v>
      </c>
      <c r="M69" t="str">
        <f t="shared" si="2"/>
        <v>PASS</v>
      </c>
      <c r="N69" t="s">
        <v>583</v>
      </c>
    </row>
    <row r="70" spans="1:14" x14ac:dyDescent="0.3">
      <c r="A70" t="s">
        <v>186</v>
      </c>
      <c r="B70" t="s">
        <v>36</v>
      </c>
      <c r="C70" t="s">
        <v>17</v>
      </c>
      <c r="D70" t="s">
        <v>187</v>
      </c>
      <c r="E70">
        <v>886</v>
      </c>
      <c r="F70" t="s">
        <v>582</v>
      </c>
      <c r="G70" t="s">
        <v>281</v>
      </c>
      <c r="H70" t="s">
        <v>295</v>
      </c>
      <c r="I70" t="s">
        <v>295</v>
      </c>
      <c r="J70" t="s">
        <v>537</v>
      </c>
      <c r="K70" t="s">
        <v>342</v>
      </c>
      <c r="L70">
        <v>715</v>
      </c>
      <c r="M70" t="str">
        <f t="shared" si="2"/>
        <v>PASS</v>
      </c>
      <c r="N70" t="s">
        <v>583</v>
      </c>
    </row>
    <row r="71" spans="1:14" x14ac:dyDescent="0.3">
      <c r="A71" t="s">
        <v>188</v>
      </c>
      <c r="B71" t="s">
        <v>70</v>
      </c>
      <c r="C71" t="s">
        <v>17</v>
      </c>
      <c r="D71" t="s">
        <v>189</v>
      </c>
      <c r="E71">
        <v>887</v>
      </c>
      <c r="F71" t="s">
        <v>582</v>
      </c>
      <c r="G71" t="s">
        <v>281</v>
      </c>
      <c r="H71" t="s">
        <v>295</v>
      </c>
      <c r="I71" t="s">
        <v>295</v>
      </c>
      <c r="J71" t="s">
        <v>538</v>
      </c>
      <c r="K71" t="s">
        <v>342</v>
      </c>
      <c r="L71">
        <v>723</v>
      </c>
      <c r="M71" t="str">
        <f t="shared" si="2"/>
        <v>PASS</v>
      </c>
      <c r="N71" t="s">
        <v>583</v>
      </c>
    </row>
    <row r="72" spans="1:14" x14ac:dyDescent="0.3">
      <c r="A72" t="s">
        <v>190</v>
      </c>
      <c r="B72" t="s">
        <v>119</v>
      </c>
      <c r="C72" t="s">
        <v>17</v>
      </c>
      <c r="D72" t="s">
        <v>191</v>
      </c>
      <c r="E72">
        <v>888</v>
      </c>
      <c r="F72" t="s">
        <v>582</v>
      </c>
      <c r="G72" t="s">
        <v>281</v>
      </c>
      <c r="H72" t="s">
        <v>295</v>
      </c>
      <c r="I72" t="s">
        <v>295</v>
      </c>
      <c r="J72" t="s">
        <v>539</v>
      </c>
      <c r="K72" t="s">
        <v>342</v>
      </c>
      <c r="L72">
        <v>731</v>
      </c>
      <c r="M72" t="str">
        <f t="shared" si="2"/>
        <v>PASS</v>
      </c>
      <c r="N72" t="s">
        <v>583</v>
      </c>
    </row>
    <row r="73" spans="1:14" x14ac:dyDescent="0.3">
      <c r="A73" t="s">
        <v>192</v>
      </c>
      <c r="B73" t="s">
        <v>110</v>
      </c>
      <c r="C73" t="s">
        <v>17</v>
      </c>
      <c r="D73" t="s">
        <v>193</v>
      </c>
      <c r="E73">
        <v>889</v>
      </c>
      <c r="F73" t="s">
        <v>582</v>
      </c>
      <c r="G73" t="s">
        <v>281</v>
      </c>
      <c r="H73" t="s">
        <v>295</v>
      </c>
      <c r="I73" t="s">
        <v>295</v>
      </c>
      <c r="J73" t="s">
        <v>540</v>
      </c>
      <c r="K73" t="s">
        <v>342</v>
      </c>
      <c r="L73">
        <v>739</v>
      </c>
      <c r="M73" t="str">
        <f t="shared" si="2"/>
        <v>PASS</v>
      </c>
      <c r="N73" t="s">
        <v>583</v>
      </c>
    </row>
    <row r="74" spans="1:14" x14ac:dyDescent="0.3">
      <c r="A74" t="s">
        <v>194</v>
      </c>
      <c r="B74" t="s">
        <v>54</v>
      </c>
      <c r="C74" t="s">
        <v>17</v>
      </c>
      <c r="D74" t="s">
        <v>195</v>
      </c>
      <c r="E74">
        <v>890</v>
      </c>
      <c r="F74" t="s">
        <v>582</v>
      </c>
      <c r="G74" t="s">
        <v>281</v>
      </c>
      <c r="H74" t="s">
        <v>295</v>
      </c>
      <c r="I74" t="s">
        <v>295</v>
      </c>
      <c r="J74" t="s">
        <v>541</v>
      </c>
      <c r="K74" t="s">
        <v>342</v>
      </c>
      <c r="L74">
        <v>747</v>
      </c>
      <c r="M74" t="str">
        <f t="shared" si="2"/>
        <v>PASS</v>
      </c>
      <c r="N74" t="s">
        <v>583</v>
      </c>
    </row>
    <row r="75" spans="1:14" x14ac:dyDescent="0.3">
      <c r="A75" t="s">
        <v>196</v>
      </c>
      <c r="B75" t="s">
        <v>128</v>
      </c>
      <c r="C75" t="s">
        <v>17</v>
      </c>
      <c r="D75" t="s">
        <v>197</v>
      </c>
      <c r="E75">
        <v>891</v>
      </c>
      <c r="F75" t="s">
        <v>582</v>
      </c>
      <c r="G75" t="s">
        <v>281</v>
      </c>
      <c r="H75" t="s">
        <v>295</v>
      </c>
      <c r="I75" t="s">
        <v>295</v>
      </c>
      <c r="J75" t="s">
        <v>542</v>
      </c>
      <c r="K75" t="s">
        <v>342</v>
      </c>
      <c r="L75">
        <v>755</v>
      </c>
      <c r="M75" t="str">
        <f t="shared" si="2"/>
        <v>PASS</v>
      </c>
      <c r="N75" t="s">
        <v>583</v>
      </c>
    </row>
    <row r="76" spans="1:14" x14ac:dyDescent="0.3">
      <c r="A76" t="s">
        <v>198</v>
      </c>
      <c r="B76" t="s">
        <v>137</v>
      </c>
      <c r="C76" t="s">
        <v>17</v>
      </c>
      <c r="D76" t="s">
        <v>199</v>
      </c>
      <c r="E76">
        <v>892</v>
      </c>
      <c r="F76" t="s">
        <v>582</v>
      </c>
      <c r="G76" t="s">
        <v>281</v>
      </c>
      <c r="H76" t="s">
        <v>295</v>
      </c>
      <c r="I76" t="s">
        <v>295</v>
      </c>
      <c r="J76" t="s">
        <v>543</v>
      </c>
      <c r="K76" t="s">
        <v>342</v>
      </c>
      <c r="L76">
        <v>763</v>
      </c>
      <c r="M76" t="str">
        <f t="shared" si="2"/>
        <v>PASS</v>
      </c>
      <c r="N76" t="s">
        <v>583</v>
      </c>
    </row>
    <row r="77" spans="1:14" x14ac:dyDescent="0.3">
      <c r="A77" t="s">
        <v>200</v>
      </c>
      <c r="B77" t="s">
        <v>137</v>
      </c>
      <c r="C77" t="s">
        <v>17</v>
      </c>
      <c r="D77" t="s">
        <v>201</v>
      </c>
      <c r="E77">
        <v>893</v>
      </c>
      <c r="F77" t="s">
        <v>582</v>
      </c>
      <c r="G77" t="s">
        <v>281</v>
      </c>
      <c r="H77" t="s">
        <v>295</v>
      </c>
      <c r="I77" t="s">
        <v>295</v>
      </c>
      <c r="J77" t="s">
        <v>544</v>
      </c>
      <c r="K77" t="s">
        <v>342</v>
      </c>
      <c r="L77">
        <v>771</v>
      </c>
      <c r="M77" t="str">
        <f t="shared" si="2"/>
        <v>PASS</v>
      </c>
      <c r="N77" t="s">
        <v>583</v>
      </c>
    </row>
    <row r="78" spans="1:14" x14ac:dyDescent="0.3">
      <c r="A78" t="s">
        <v>202</v>
      </c>
      <c r="B78" t="s">
        <v>10</v>
      </c>
      <c r="C78" t="s">
        <v>204</v>
      </c>
      <c r="D78" t="s">
        <v>203</v>
      </c>
      <c r="E78">
        <v>457</v>
      </c>
      <c r="F78" t="s">
        <v>582</v>
      </c>
      <c r="G78" t="s">
        <v>281</v>
      </c>
      <c r="H78" t="s">
        <v>295</v>
      </c>
      <c r="I78" t="s">
        <v>295</v>
      </c>
      <c r="J78" t="s">
        <v>546</v>
      </c>
      <c r="K78" t="s">
        <v>317</v>
      </c>
      <c r="L78">
        <v>124</v>
      </c>
      <c r="M78" t="str">
        <f t="shared" si="2"/>
        <v>PASS</v>
      </c>
      <c r="N78" t="s">
        <v>584</v>
      </c>
    </row>
    <row r="79" spans="1:14" x14ac:dyDescent="0.3">
      <c r="A79" t="s">
        <v>205</v>
      </c>
      <c r="B79" t="s">
        <v>10</v>
      </c>
      <c r="C79" t="s">
        <v>204</v>
      </c>
      <c r="D79" t="s">
        <v>206</v>
      </c>
      <c r="E79">
        <v>458</v>
      </c>
      <c r="F79" t="s">
        <v>582</v>
      </c>
      <c r="G79" t="s">
        <v>281</v>
      </c>
      <c r="H79" t="s">
        <v>295</v>
      </c>
      <c r="I79" t="s">
        <v>295</v>
      </c>
      <c r="J79" t="s">
        <v>547</v>
      </c>
      <c r="K79" t="s">
        <v>317</v>
      </c>
      <c r="L79">
        <v>132</v>
      </c>
      <c r="M79" t="str">
        <f t="shared" si="2"/>
        <v>PASS</v>
      </c>
      <c r="N79" t="s">
        <v>584</v>
      </c>
    </row>
    <row r="80" spans="1:14" x14ac:dyDescent="0.3">
      <c r="A80" t="s">
        <v>207</v>
      </c>
      <c r="B80" t="s">
        <v>169</v>
      </c>
      <c r="C80" t="s">
        <v>204</v>
      </c>
      <c r="D80" t="s">
        <v>208</v>
      </c>
      <c r="E80">
        <v>461</v>
      </c>
      <c r="F80" t="s">
        <v>582</v>
      </c>
      <c r="G80" t="s">
        <v>281</v>
      </c>
      <c r="H80" t="s">
        <v>295</v>
      </c>
      <c r="I80" t="s">
        <v>295</v>
      </c>
      <c r="J80" t="s">
        <v>549</v>
      </c>
      <c r="K80" t="s">
        <v>317</v>
      </c>
      <c r="L80">
        <v>161</v>
      </c>
      <c r="M80" t="str">
        <f t="shared" si="2"/>
        <v>PASS</v>
      </c>
      <c r="N80" t="s">
        <v>584</v>
      </c>
    </row>
    <row r="81" spans="1:14" x14ac:dyDescent="0.3">
      <c r="A81" t="s">
        <v>210</v>
      </c>
      <c r="B81" t="s">
        <v>209</v>
      </c>
      <c r="C81" t="s">
        <v>204</v>
      </c>
      <c r="D81" t="s">
        <v>208</v>
      </c>
      <c r="E81">
        <v>461</v>
      </c>
      <c r="F81" t="s">
        <v>582</v>
      </c>
      <c r="G81" t="s">
        <v>281</v>
      </c>
      <c r="H81" t="s">
        <v>295</v>
      </c>
      <c r="I81" t="s">
        <v>295</v>
      </c>
      <c r="J81" t="s">
        <v>549</v>
      </c>
      <c r="K81" t="s">
        <v>317</v>
      </c>
      <c r="L81">
        <v>161</v>
      </c>
      <c r="M81" t="str">
        <f t="shared" si="2"/>
        <v>PASS</v>
      </c>
      <c r="N81" t="s">
        <v>584</v>
      </c>
    </row>
    <row r="82" spans="1:14" x14ac:dyDescent="0.3">
      <c r="A82" t="s">
        <v>211</v>
      </c>
      <c r="B82" t="s">
        <v>169</v>
      </c>
      <c r="C82" t="s">
        <v>204</v>
      </c>
      <c r="D82" t="s">
        <v>212</v>
      </c>
      <c r="E82">
        <v>462</v>
      </c>
      <c r="F82" t="s">
        <v>582</v>
      </c>
      <c r="G82" t="s">
        <v>281</v>
      </c>
      <c r="H82" t="s">
        <v>295</v>
      </c>
      <c r="I82" t="s">
        <v>295</v>
      </c>
      <c r="J82" t="s">
        <v>551</v>
      </c>
      <c r="K82" t="s">
        <v>317</v>
      </c>
      <c r="L82">
        <v>168</v>
      </c>
      <c r="M82" t="str">
        <f t="shared" si="2"/>
        <v>PASS</v>
      </c>
      <c r="N82" t="s">
        <v>584</v>
      </c>
    </row>
    <row r="83" spans="1:14" x14ac:dyDescent="0.3">
      <c r="A83" t="s">
        <v>213</v>
      </c>
      <c r="B83" t="s">
        <v>209</v>
      </c>
      <c r="C83" t="s">
        <v>204</v>
      </c>
      <c r="D83" t="s">
        <v>212</v>
      </c>
      <c r="E83">
        <v>462</v>
      </c>
      <c r="F83" t="s">
        <v>582</v>
      </c>
      <c r="G83" t="s">
        <v>281</v>
      </c>
      <c r="H83" t="s">
        <v>295</v>
      </c>
      <c r="I83" t="s">
        <v>295</v>
      </c>
      <c r="J83" t="s">
        <v>551</v>
      </c>
      <c r="K83" t="s">
        <v>317</v>
      </c>
      <c r="L83">
        <v>168</v>
      </c>
      <c r="M83" t="str">
        <f t="shared" si="2"/>
        <v>PASS</v>
      </c>
      <c r="N83" t="s">
        <v>584</v>
      </c>
    </row>
    <row r="84" spans="1:14" x14ac:dyDescent="0.3">
      <c r="A84" t="s">
        <v>214</v>
      </c>
      <c r="B84" t="s">
        <v>169</v>
      </c>
      <c r="C84" t="s">
        <v>204</v>
      </c>
      <c r="D84" t="s">
        <v>215</v>
      </c>
      <c r="E84">
        <v>463</v>
      </c>
      <c r="F84" t="s">
        <v>582</v>
      </c>
      <c r="G84" t="s">
        <v>281</v>
      </c>
      <c r="H84" t="s">
        <v>295</v>
      </c>
      <c r="I84" t="s">
        <v>295</v>
      </c>
      <c r="J84" t="s">
        <v>552</v>
      </c>
      <c r="K84" t="s">
        <v>317</v>
      </c>
      <c r="L84">
        <v>175</v>
      </c>
      <c r="M84" t="str">
        <f t="shared" si="2"/>
        <v>PASS</v>
      </c>
      <c r="N84" t="s">
        <v>584</v>
      </c>
    </row>
    <row r="85" spans="1:14" x14ac:dyDescent="0.3">
      <c r="A85" t="s">
        <v>216</v>
      </c>
      <c r="B85" t="s">
        <v>209</v>
      </c>
      <c r="C85" t="s">
        <v>204</v>
      </c>
      <c r="D85" t="s">
        <v>215</v>
      </c>
      <c r="E85">
        <v>463</v>
      </c>
      <c r="F85" t="s">
        <v>582</v>
      </c>
      <c r="G85" t="s">
        <v>281</v>
      </c>
      <c r="H85" t="s">
        <v>295</v>
      </c>
      <c r="I85" t="s">
        <v>295</v>
      </c>
      <c r="J85" t="s">
        <v>552</v>
      </c>
      <c r="K85" t="s">
        <v>317</v>
      </c>
      <c r="L85">
        <v>175</v>
      </c>
      <c r="M85" t="str">
        <f t="shared" si="2"/>
        <v>PASS</v>
      </c>
      <c r="N85" t="s">
        <v>584</v>
      </c>
    </row>
    <row r="86" spans="1:14" x14ac:dyDescent="0.3">
      <c r="A86" t="s">
        <v>217</v>
      </c>
      <c r="B86" t="s">
        <v>169</v>
      </c>
      <c r="C86" t="s">
        <v>204</v>
      </c>
      <c r="D86" t="s">
        <v>218</v>
      </c>
      <c r="E86">
        <v>464</v>
      </c>
      <c r="F86" t="s">
        <v>582</v>
      </c>
      <c r="G86" t="s">
        <v>281</v>
      </c>
      <c r="H86" t="s">
        <v>295</v>
      </c>
      <c r="I86" t="s">
        <v>295</v>
      </c>
      <c r="J86" t="s">
        <v>553</v>
      </c>
      <c r="K86" t="s">
        <v>317</v>
      </c>
      <c r="L86">
        <v>182</v>
      </c>
      <c r="M86" t="str">
        <f t="shared" si="2"/>
        <v>PASS</v>
      </c>
      <c r="N86" t="s">
        <v>584</v>
      </c>
    </row>
    <row r="87" spans="1:14" x14ac:dyDescent="0.3">
      <c r="A87" t="s">
        <v>219</v>
      </c>
      <c r="B87" t="s">
        <v>209</v>
      </c>
      <c r="C87" t="s">
        <v>204</v>
      </c>
      <c r="D87" t="s">
        <v>218</v>
      </c>
      <c r="E87">
        <v>464</v>
      </c>
      <c r="F87" t="s">
        <v>582</v>
      </c>
      <c r="G87" t="s">
        <v>281</v>
      </c>
      <c r="H87" t="s">
        <v>295</v>
      </c>
      <c r="I87" t="s">
        <v>295</v>
      </c>
      <c r="J87" t="s">
        <v>553</v>
      </c>
      <c r="K87" t="s">
        <v>317</v>
      </c>
      <c r="L87">
        <v>182</v>
      </c>
      <c r="M87" t="str">
        <f t="shared" si="2"/>
        <v>PASS</v>
      </c>
      <c r="N87" t="s">
        <v>584</v>
      </c>
    </row>
    <row r="88" spans="1:14" x14ac:dyDescent="0.3">
      <c r="A88" t="s">
        <v>220</v>
      </c>
      <c r="B88" t="s">
        <v>169</v>
      </c>
      <c r="C88" t="s">
        <v>204</v>
      </c>
      <c r="D88" t="s">
        <v>221</v>
      </c>
      <c r="E88">
        <v>465</v>
      </c>
      <c r="F88" t="s">
        <v>582</v>
      </c>
      <c r="G88" t="s">
        <v>281</v>
      </c>
      <c r="H88" t="s">
        <v>295</v>
      </c>
      <c r="I88" t="s">
        <v>295</v>
      </c>
      <c r="J88" t="s">
        <v>554</v>
      </c>
      <c r="K88" t="s">
        <v>317</v>
      </c>
      <c r="L88">
        <v>189</v>
      </c>
      <c r="M88" t="str">
        <f t="shared" si="2"/>
        <v>PASS</v>
      </c>
      <c r="N88" t="s">
        <v>584</v>
      </c>
    </row>
    <row r="89" spans="1:14" x14ac:dyDescent="0.3">
      <c r="A89" t="s">
        <v>222</v>
      </c>
      <c r="B89" t="s">
        <v>209</v>
      </c>
      <c r="C89" t="s">
        <v>204</v>
      </c>
      <c r="D89" t="s">
        <v>221</v>
      </c>
      <c r="E89">
        <v>465</v>
      </c>
      <c r="F89" t="s">
        <v>582</v>
      </c>
      <c r="G89" t="s">
        <v>281</v>
      </c>
      <c r="H89" t="s">
        <v>295</v>
      </c>
      <c r="I89" t="s">
        <v>295</v>
      </c>
      <c r="J89" t="s">
        <v>554</v>
      </c>
      <c r="K89" t="s">
        <v>317</v>
      </c>
      <c r="L89">
        <v>189</v>
      </c>
      <c r="M89" t="str">
        <f t="shared" si="2"/>
        <v>PASS</v>
      </c>
      <c r="N89" t="s">
        <v>584</v>
      </c>
    </row>
    <row r="90" spans="1:14" x14ac:dyDescent="0.3">
      <c r="A90" t="s">
        <v>223</v>
      </c>
      <c r="B90" t="s">
        <v>169</v>
      </c>
      <c r="C90" t="s">
        <v>204</v>
      </c>
      <c r="D90" t="s">
        <v>224</v>
      </c>
      <c r="E90">
        <v>466</v>
      </c>
      <c r="F90" t="s">
        <v>582</v>
      </c>
      <c r="G90" t="s">
        <v>281</v>
      </c>
      <c r="H90" t="s">
        <v>295</v>
      </c>
      <c r="I90" t="s">
        <v>295</v>
      </c>
      <c r="J90" t="s">
        <v>555</v>
      </c>
      <c r="K90" t="s">
        <v>317</v>
      </c>
      <c r="L90">
        <v>196</v>
      </c>
      <c r="M90" t="str">
        <f t="shared" si="2"/>
        <v>PASS</v>
      </c>
      <c r="N90" t="s">
        <v>584</v>
      </c>
    </row>
    <row r="91" spans="1:14" x14ac:dyDescent="0.3">
      <c r="A91" t="s">
        <v>225</v>
      </c>
      <c r="B91" t="s">
        <v>209</v>
      </c>
      <c r="C91" t="s">
        <v>204</v>
      </c>
      <c r="D91" t="s">
        <v>224</v>
      </c>
      <c r="E91">
        <v>466</v>
      </c>
      <c r="F91" t="s">
        <v>582</v>
      </c>
      <c r="G91" t="s">
        <v>281</v>
      </c>
      <c r="H91" t="s">
        <v>295</v>
      </c>
      <c r="I91" t="s">
        <v>295</v>
      </c>
      <c r="J91" t="s">
        <v>555</v>
      </c>
      <c r="K91" t="s">
        <v>317</v>
      </c>
      <c r="L91">
        <v>196</v>
      </c>
      <c r="M91" t="str">
        <f t="shared" si="2"/>
        <v>PASS</v>
      </c>
      <c r="N91" t="s">
        <v>584</v>
      </c>
    </row>
    <row r="92" spans="1:14" x14ac:dyDescent="0.3">
      <c r="A92" t="s">
        <v>226</v>
      </c>
      <c r="B92" t="s">
        <v>18</v>
      </c>
      <c r="C92" t="s">
        <v>204</v>
      </c>
      <c r="D92" t="s">
        <v>227</v>
      </c>
      <c r="E92">
        <v>469</v>
      </c>
      <c r="F92" t="s">
        <v>582</v>
      </c>
      <c r="G92" t="s">
        <v>281</v>
      </c>
      <c r="H92" t="s">
        <v>295</v>
      </c>
      <c r="I92" t="s">
        <v>295</v>
      </c>
      <c r="J92" t="s">
        <v>556</v>
      </c>
      <c r="K92" t="s">
        <v>317</v>
      </c>
      <c r="L92">
        <v>207</v>
      </c>
      <c r="M92" t="str">
        <f t="shared" si="2"/>
        <v>PASS</v>
      </c>
      <c r="N92" t="s">
        <v>584</v>
      </c>
    </row>
    <row r="93" spans="1:14" x14ac:dyDescent="0.3">
      <c r="A93" t="s">
        <v>228</v>
      </c>
      <c r="B93" t="s">
        <v>18</v>
      </c>
      <c r="C93" t="s">
        <v>204</v>
      </c>
      <c r="D93" t="s">
        <v>229</v>
      </c>
      <c r="E93">
        <v>470</v>
      </c>
      <c r="F93" t="s">
        <v>582</v>
      </c>
      <c r="G93" t="s">
        <v>281</v>
      </c>
      <c r="H93" t="s">
        <v>295</v>
      </c>
      <c r="I93" t="s">
        <v>295</v>
      </c>
      <c r="J93" t="s">
        <v>557</v>
      </c>
      <c r="K93" t="s">
        <v>317</v>
      </c>
      <c r="L93">
        <v>214</v>
      </c>
      <c r="M93" t="str">
        <f t="shared" si="2"/>
        <v>PASS</v>
      </c>
      <c r="N93" t="s">
        <v>584</v>
      </c>
    </row>
    <row r="94" spans="1:14" x14ac:dyDescent="0.3">
      <c r="A94" t="s">
        <v>230</v>
      </c>
      <c r="B94" t="s">
        <v>18</v>
      </c>
      <c r="C94" t="s">
        <v>204</v>
      </c>
      <c r="D94" t="s">
        <v>231</v>
      </c>
      <c r="E94">
        <v>471</v>
      </c>
      <c r="F94" t="s">
        <v>582</v>
      </c>
      <c r="G94" t="s">
        <v>281</v>
      </c>
      <c r="H94" t="s">
        <v>295</v>
      </c>
      <c r="I94" t="s">
        <v>295</v>
      </c>
      <c r="J94" t="s">
        <v>558</v>
      </c>
      <c r="K94" t="s">
        <v>317</v>
      </c>
      <c r="L94">
        <v>225</v>
      </c>
      <c r="M94" t="str">
        <f t="shared" si="2"/>
        <v>PASS</v>
      </c>
      <c r="N94" t="s">
        <v>584</v>
      </c>
    </row>
    <row r="95" spans="1:14" x14ac:dyDescent="0.3">
      <c r="A95" t="s">
        <v>232</v>
      </c>
      <c r="B95" t="s">
        <v>18</v>
      </c>
      <c r="C95" t="s">
        <v>204</v>
      </c>
      <c r="D95" t="s">
        <v>233</v>
      </c>
      <c r="E95">
        <v>472</v>
      </c>
      <c r="F95" t="s">
        <v>582</v>
      </c>
      <c r="G95" t="s">
        <v>281</v>
      </c>
      <c r="H95" t="s">
        <v>295</v>
      </c>
      <c r="I95" t="s">
        <v>295</v>
      </c>
      <c r="J95" t="s">
        <v>559</v>
      </c>
      <c r="K95" t="s">
        <v>317</v>
      </c>
      <c r="L95">
        <v>234</v>
      </c>
      <c r="M95" t="str">
        <f t="shared" si="2"/>
        <v>PASS</v>
      </c>
      <c r="N95" t="s">
        <v>584</v>
      </c>
    </row>
    <row r="96" spans="1:14" x14ac:dyDescent="0.3">
      <c r="A96" t="s">
        <v>234</v>
      </c>
      <c r="B96" t="s">
        <v>18</v>
      </c>
      <c r="C96" t="s">
        <v>204</v>
      </c>
      <c r="D96" t="s">
        <v>235</v>
      </c>
      <c r="E96">
        <v>473</v>
      </c>
      <c r="F96" t="s">
        <v>582</v>
      </c>
      <c r="G96" t="s">
        <v>281</v>
      </c>
      <c r="H96" t="s">
        <v>295</v>
      </c>
      <c r="I96" t="s">
        <v>295</v>
      </c>
      <c r="J96" t="s">
        <v>560</v>
      </c>
      <c r="K96" t="s">
        <v>317</v>
      </c>
      <c r="L96">
        <v>244</v>
      </c>
      <c r="M96" t="str">
        <f t="shared" si="2"/>
        <v>PASS</v>
      </c>
      <c r="N96" t="s">
        <v>584</v>
      </c>
    </row>
    <row r="97" spans="1:14" x14ac:dyDescent="0.3">
      <c r="A97" t="s">
        <v>237</v>
      </c>
      <c r="B97" t="s">
        <v>236</v>
      </c>
      <c r="C97" t="s">
        <v>204</v>
      </c>
      <c r="D97" t="s">
        <v>238</v>
      </c>
      <c r="E97">
        <v>476</v>
      </c>
      <c r="F97" t="s">
        <v>582</v>
      </c>
      <c r="G97" t="s">
        <v>281</v>
      </c>
      <c r="H97" t="s">
        <v>295</v>
      </c>
      <c r="I97" t="s">
        <v>295</v>
      </c>
      <c r="J97" t="s">
        <v>563</v>
      </c>
      <c r="K97" t="s">
        <v>317</v>
      </c>
      <c r="L97">
        <v>266</v>
      </c>
      <c r="M97" t="str">
        <f t="shared" si="2"/>
        <v>PASS</v>
      </c>
      <c r="N97" t="s">
        <v>584</v>
      </c>
    </row>
    <row r="98" spans="1:14" x14ac:dyDescent="0.3">
      <c r="A98" t="s">
        <v>242</v>
      </c>
      <c r="B98" t="s">
        <v>241</v>
      </c>
      <c r="C98" t="s">
        <v>204</v>
      </c>
      <c r="D98" t="s">
        <v>243</v>
      </c>
      <c r="E98">
        <v>479</v>
      </c>
      <c r="F98" t="s">
        <v>582</v>
      </c>
      <c r="G98" t="s">
        <v>281</v>
      </c>
      <c r="H98" t="s">
        <v>295</v>
      </c>
      <c r="I98" t="s">
        <v>295</v>
      </c>
      <c r="J98" t="s">
        <v>566</v>
      </c>
      <c r="K98" t="s">
        <v>317</v>
      </c>
      <c r="L98">
        <v>301</v>
      </c>
      <c r="M98" t="str">
        <f t="shared" ref="M98:M106" si="3">IF(I98="","NOT EXECUTED",IF(I98="PASS","PASS",IF(I98="IGNORE","N/A","FAIL")))</f>
        <v>PASS</v>
      </c>
      <c r="N98" t="s">
        <v>584</v>
      </c>
    </row>
    <row r="99" spans="1:14" x14ac:dyDescent="0.3">
      <c r="A99" t="s">
        <v>247</v>
      </c>
      <c r="B99" t="s">
        <v>241</v>
      </c>
      <c r="C99" t="s">
        <v>204</v>
      </c>
      <c r="D99" t="s">
        <v>248</v>
      </c>
      <c r="E99">
        <v>480</v>
      </c>
      <c r="F99" t="s">
        <v>582</v>
      </c>
      <c r="G99" t="s">
        <v>281</v>
      </c>
      <c r="H99" t="s">
        <v>295</v>
      </c>
      <c r="I99" t="s">
        <v>295</v>
      </c>
      <c r="J99" t="s">
        <v>567</v>
      </c>
      <c r="K99" t="s">
        <v>317</v>
      </c>
      <c r="L99">
        <v>307</v>
      </c>
      <c r="M99" t="str">
        <f t="shared" si="3"/>
        <v>PASS</v>
      </c>
      <c r="N99" t="s">
        <v>584</v>
      </c>
    </row>
    <row r="100" spans="1:14" x14ac:dyDescent="0.3">
      <c r="A100" t="s">
        <v>249</v>
      </c>
      <c r="B100" t="s">
        <v>241</v>
      </c>
      <c r="C100" t="s">
        <v>204</v>
      </c>
      <c r="D100" t="s">
        <v>250</v>
      </c>
      <c r="E100">
        <v>481</v>
      </c>
      <c r="F100" t="s">
        <v>582</v>
      </c>
      <c r="G100" t="s">
        <v>281</v>
      </c>
      <c r="H100" t="s">
        <v>295</v>
      </c>
      <c r="I100" t="s">
        <v>295</v>
      </c>
      <c r="J100" t="s">
        <v>569</v>
      </c>
      <c r="K100" t="s">
        <v>317</v>
      </c>
      <c r="L100">
        <v>313</v>
      </c>
      <c r="M100" t="str">
        <f t="shared" si="3"/>
        <v>PASS</v>
      </c>
      <c r="N100" t="s">
        <v>584</v>
      </c>
    </row>
    <row r="101" spans="1:14" x14ac:dyDescent="0.3">
      <c r="A101" t="s">
        <v>251</v>
      </c>
      <c r="B101" t="s">
        <v>241</v>
      </c>
      <c r="C101" t="s">
        <v>204</v>
      </c>
      <c r="D101" t="s">
        <v>252</v>
      </c>
      <c r="E101">
        <v>482</v>
      </c>
      <c r="F101" t="s">
        <v>582</v>
      </c>
      <c r="G101" t="s">
        <v>281</v>
      </c>
      <c r="H101" t="s">
        <v>295</v>
      </c>
      <c r="I101" t="s">
        <v>295</v>
      </c>
      <c r="J101" t="s">
        <v>570</v>
      </c>
      <c r="K101" t="s">
        <v>317</v>
      </c>
      <c r="L101">
        <v>319</v>
      </c>
      <c r="M101" t="str">
        <f t="shared" si="3"/>
        <v>PASS</v>
      </c>
      <c r="N101" t="s">
        <v>584</v>
      </c>
    </row>
    <row r="102" spans="1:14" x14ac:dyDescent="0.3">
      <c r="A102" t="s">
        <v>253</v>
      </c>
      <c r="B102" t="s">
        <v>241</v>
      </c>
      <c r="C102" t="s">
        <v>204</v>
      </c>
      <c r="D102" t="s">
        <v>254</v>
      </c>
      <c r="E102">
        <v>483</v>
      </c>
      <c r="F102" t="s">
        <v>582</v>
      </c>
      <c r="G102" t="s">
        <v>281</v>
      </c>
      <c r="H102" t="s">
        <v>295</v>
      </c>
      <c r="I102" t="s">
        <v>295</v>
      </c>
      <c r="J102" t="s">
        <v>571</v>
      </c>
      <c r="K102" t="s">
        <v>317</v>
      </c>
      <c r="L102">
        <v>329</v>
      </c>
      <c r="M102" t="str">
        <f t="shared" si="3"/>
        <v>PASS</v>
      </c>
      <c r="N102" t="s">
        <v>584</v>
      </c>
    </row>
    <row r="103" spans="1:14" x14ac:dyDescent="0.3">
      <c r="A103" t="s">
        <v>255</v>
      </c>
      <c r="B103" t="s">
        <v>241</v>
      </c>
      <c r="C103" t="s">
        <v>204</v>
      </c>
      <c r="D103" t="s">
        <v>256</v>
      </c>
      <c r="E103">
        <v>484</v>
      </c>
      <c r="F103" t="s">
        <v>582</v>
      </c>
      <c r="G103" t="s">
        <v>281</v>
      </c>
      <c r="H103" t="s">
        <v>295</v>
      </c>
      <c r="I103" t="s">
        <v>295</v>
      </c>
      <c r="J103" t="s">
        <v>572</v>
      </c>
      <c r="K103" t="s">
        <v>317</v>
      </c>
      <c r="L103">
        <v>335</v>
      </c>
      <c r="M103" t="str">
        <f t="shared" si="3"/>
        <v>PASS</v>
      </c>
      <c r="N103" t="s">
        <v>584</v>
      </c>
    </row>
    <row r="104" spans="1:14" x14ac:dyDescent="0.3">
      <c r="A104" t="s">
        <v>258</v>
      </c>
      <c r="B104" t="s">
        <v>257</v>
      </c>
      <c r="C104" t="s">
        <v>204</v>
      </c>
      <c r="D104" t="s">
        <v>259</v>
      </c>
      <c r="E104">
        <v>487</v>
      </c>
      <c r="F104" t="s">
        <v>582</v>
      </c>
      <c r="G104" t="s">
        <v>281</v>
      </c>
      <c r="H104" t="s">
        <v>295</v>
      </c>
      <c r="I104" t="s">
        <v>295</v>
      </c>
      <c r="J104" t="s">
        <v>574</v>
      </c>
      <c r="K104" t="s">
        <v>317</v>
      </c>
      <c r="L104">
        <v>349</v>
      </c>
      <c r="M104" t="str">
        <f t="shared" si="3"/>
        <v>PASS</v>
      </c>
      <c r="N104" t="s">
        <v>584</v>
      </c>
    </row>
    <row r="105" spans="1:14" x14ac:dyDescent="0.3">
      <c r="A105" t="s">
        <v>262</v>
      </c>
      <c r="B105" t="s">
        <v>257</v>
      </c>
      <c r="C105" t="s">
        <v>204</v>
      </c>
      <c r="D105" t="s">
        <v>263</v>
      </c>
      <c r="E105">
        <v>488</v>
      </c>
      <c r="F105" t="s">
        <v>582</v>
      </c>
      <c r="G105" t="s">
        <v>281</v>
      </c>
      <c r="H105" t="s">
        <v>295</v>
      </c>
      <c r="I105" t="s">
        <v>295</v>
      </c>
      <c r="J105" t="s">
        <v>575</v>
      </c>
      <c r="K105" t="s">
        <v>317</v>
      </c>
      <c r="L105">
        <v>372</v>
      </c>
      <c r="M105" t="str">
        <f t="shared" si="3"/>
        <v>PASS</v>
      </c>
      <c r="N105" t="s">
        <v>584</v>
      </c>
    </row>
    <row r="106" spans="1:14" x14ac:dyDescent="0.3">
      <c r="A106" t="s">
        <v>265</v>
      </c>
      <c r="B106" t="s">
        <v>264</v>
      </c>
      <c r="C106" t="s">
        <v>204</v>
      </c>
      <c r="D106" t="s">
        <v>266</v>
      </c>
      <c r="E106">
        <v>491</v>
      </c>
      <c r="F106" t="s">
        <v>582</v>
      </c>
      <c r="G106" t="s">
        <v>281</v>
      </c>
      <c r="H106" t="s">
        <v>295</v>
      </c>
      <c r="I106" t="s">
        <v>295</v>
      </c>
      <c r="J106" t="s">
        <v>578</v>
      </c>
      <c r="K106" t="s">
        <v>317</v>
      </c>
      <c r="L106">
        <v>404</v>
      </c>
      <c r="M106" t="str">
        <f t="shared" si="3"/>
        <v>PASS</v>
      </c>
      <c r="N106" t="s">
        <v>584</v>
      </c>
    </row>
  </sheetData>
  <conditionalFormatting sqref="M2:M62">
    <cfRule type="expression" dxfId="2" priority="1">
      <formula>$M2="PASS"</formula>
    </cfRule>
    <cfRule type="expression" dxfId="1" priority="2">
      <formula>$M2="FAIL"</formula>
    </cfRule>
    <cfRule type="expression" dxfId="0" priority="3">
      <formula>OR($M2="NOT EXECUTED",$M2="BLOCKED",$M2="N/A")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4"/>
  <sheetViews>
    <sheetView showGridLines="0" workbookViewId="0"/>
  </sheetViews>
  <sheetFormatPr defaultRowHeight="14.4" x14ac:dyDescent="0.3"/>
  <cols>
    <col min="1" max="1" width="3" customWidth="1"/>
    <col min="2" max="2" width="32" customWidth="1"/>
    <col min="3" max="6" width="16" customWidth="1"/>
  </cols>
  <sheetData>
    <row r="1" spans="1:19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">
      <c r="B2" s="9" t="s">
        <v>585</v>
      </c>
      <c r="C2" s="9"/>
      <c r="D2" s="9"/>
      <c r="E2" s="9"/>
      <c r="F2" s="9"/>
    </row>
    <row r="4" spans="1:19" x14ac:dyDescent="0.3">
      <c r="B4" s="9" t="s">
        <v>586</v>
      </c>
      <c r="C4" s="9"/>
      <c r="D4" s="9"/>
      <c r="E4" s="9"/>
      <c r="F4" s="9"/>
    </row>
    <row r="5" spans="1:19" x14ac:dyDescent="0.3">
      <c r="B5" t="s">
        <v>587</v>
      </c>
      <c r="C5">
        <f>COUNTA(Requirements!A2:A41)</f>
        <v>40</v>
      </c>
    </row>
    <row r="6" spans="1:19" x14ac:dyDescent="0.3">
      <c r="B6" t="s">
        <v>588</v>
      </c>
      <c r="C6">
        <f>COUNTIF(Requirements!G2:G41,"YES")</f>
        <v>22</v>
      </c>
    </row>
    <row r="7" spans="1:19" x14ac:dyDescent="0.3">
      <c r="B7" t="s">
        <v>589</v>
      </c>
      <c r="C7">
        <f>COUNTIF(Requirements!G2:G41,"NO")</f>
        <v>18</v>
      </c>
    </row>
    <row r="8" spans="1:19" x14ac:dyDescent="0.3">
      <c r="B8" t="s">
        <v>590</v>
      </c>
      <c r="C8">
        <f>IFERROR(C6/C5,0)</f>
        <v>0.55000000000000004</v>
      </c>
    </row>
    <row r="10" spans="1:19" x14ac:dyDescent="0.3">
      <c r="B10" s="9" t="s">
        <v>591</v>
      </c>
      <c r="C10" s="9"/>
      <c r="D10" s="9"/>
      <c r="E10" s="9"/>
      <c r="F10" s="9"/>
    </row>
    <row r="11" spans="1:19" x14ac:dyDescent="0.3">
      <c r="B11" t="s">
        <v>305</v>
      </c>
      <c r="C11" t="s">
        <v>592</v>
      </c>
      <c r="D11" t="s">
        <v>593</v>
      </c>
      <c r="E11" t="s">
        <v>594</v>
      </c>
      <c r="F11" t="s">
        <v>590</v>
      </c>
    </row>
    <row r="12" spans="1:19" x14ac:dyDescent="0.3">
      <c r="B12" t="s">
        <v>313</v>
      </c>
      <c r="C12">
        <f>COUNTIF(Requirements!B2:B41,B12)</f>
        <v>3</v>
      </c>
      <c r="D12">
        <f>COUNTIFS(Requirements!B2:B41,B12,Requirements!G2:G41,"YES")</f>
        <v>3</v>
      </c>
      <c r="E12">
        <f>COUNTIFS(Requirements!B2:B41,B12,Requirements!G2:G41,"NO")</f>
        <v>0</v>
      </c>
      <c r="F12">
        <f>IFERROR(D12/C12,0)</f>
        <v>1</v>
      </c>
    </row>
    <row r="13" spans="1:19" x14ac:dyDescent="0.3">
      <c r="B13" t="s">
        <v>322</v>
      </c>
      <c r="C13">
        <f>COUNTIF(Requirements!B2:B41,B13)</f>
        <v>10</v>
      </c>
      <c r="D13">
        <f>COUNTIFS(Requirements!B2:B41,B13,Requirements!G2:G41,"YES")</f>
        <v>6</v>
      </c>
      <c r="E13">
        <f>COUNTIFS(Requirements!B2:B41,B13,Requirements!G2:G41,"NO")</f>
        <v>4</v>
      </c>
      <c r="F13">
        <f>IFERROR(D13/C13,0)</f>
        <v>0.6</v>
      </c>
    </row>
    <row r="14" spans="1:19" x14ac:dyDescent="0.3">
      <c r="B14" t="s">
        <v>355</v>
      </c>
      <c r="C14">
        <f>COUNTIF(Requirements!B2:B41,B14)</f>
        <v>23</v>
      </c>
      <c r="D14">
        <f>COUNTIFS(Requirements!B2:B41,B14,Requirements!G2:G41,"YES")</f>
        <v>11</v>
      </c>
      <c r="E14">
        <f>COUNTIFS(Requirements!B2:B41,B14,Requirements!G2:G41,"NO")</f>
        <v>12</v>
      </c>
      <c r="F14">
        <f>IFERROR(D14/C14,0)</f>
        <v>0.47826086956521741</v>
      </c>
    </row>
    <row r="15" spans="1:19" x14ac:dyDescent="0.3">
      <c r="B15" t="s">
        <v>421</v>
      </c>
      <c r="C15">
        <f>COUNTIF(Requirements!B2:B41,B15)</f>
        <v>4</v>
      </c>
      <c r="D15">
        <f>COUNTIFS(Requirements!B2:B41,B15,Requirements!G2:G41,"YES")</f>
        <v>2</v>
      </c>
      <c r="E15">
        <f>COUNTIFS(Requirements!B2:B41,B15,Requirements!G2:G41,"NO")</f>
        <v>2</v>
      </c>
      <c r="F15">
        <f>IFERROR(D15/C15,0)</f>
        <v>0.5</v>
      </c>
    </row>
    <row r="17" spans="2:6" x14ac:dyDescent="0.3">
      <c r="B17" s="9" t="s">
        <v>290</v>
      </c>
      <c r="C17" s="9"/>
      <c r="D17" s="9"/>
      <c r="E17" s="9"/>
      <c r="F17" s="9"/>
    </row>
    <row r="18" spans="2:6" x14ac:dyDescent="0.3">
      <c r="B18" t="s">
        <v>595</v>
      </c>
      <c r="C18">
        <f>COUNTA('Test Cases'!A2:A200)</f>
        <v>105</v>
      </c>
    </row>
    <row r="19" spans="2:6" x14ac:dyDescent="0.3">
      <c r="B19" t="s">
        <v>596</v>
      </c>
      <c r="C19">
        <f>COUNTIF('Test Execution'!M2:M200,"PASS")</f>
        <v>105</v>
      </c>
    </row>
    <row r="20" spans="2:6" x14ac:dyDescent="0.3">
      <c r="B20" t="s">
        <v>597</v>
      </c>
      <c r="C20">
        <f>COUNTIF('Test Execution'!M2:M200,"FAIL")</f>
        <v>0</v>
      </c>
    </row>
    <row r="21" spans="2:6" x14ac:dyDescent="0.3">
      <c r="B21" t="s">
        <v>598</v>
      </c>
      <c r="C21">
        <f>COUNTIF('Test Execution'!M2:M200,"NOT EXECUTED")</f>
        <v>0</v>
      </c>
    </row>
    <row r="22" spans="2:6" x14ac:dyDescent="0.3">
      <c r="B22" t="s">
        <v>301</v>
      </c>
      <c r="C22">
        <f>COUNTIF('Test Execution'!M2:M200,"N/A")</f>
        <v>0</v>
      </c>
    </row>
    <row r="23" spans="2:6" x14ac:dyDescent="0.3">
      <c r="B23" t="s">
        <v>599</v>
      </c>
      <c r="C23">
        <f>COUNTIF('Test Execution'!M2:M200,"BLOCKED")</f>
        <v>0</v>
      </c>
    </row>
    <row r="24" spans="2:6" x14ac:dyDescent="0.3">
      <c r="B24" t="s">
        <v>600</v>
      </c>
      <c r="C24">
        <f>IFERROR(C19/(C19+C20),0)</f>
        <v>1</v>
      </c>
    </row>
  </sheetData>
  <mergeCells count="4">
    <mergeCell ref="B2:F2"/>
    <mergeCell ref="B4:F4"/>
    <mergeCell ref="B10:F10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Cover</vt:lpstr>
      <vt:lpstr>Requirements</vt:lpstr>
      <vt:lpstr>Test Cases</vt:lpstr>
      <vt:lpstr>Traceability Matrix</vt:lpstr>
      <vt:lpstr>Test Execution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igor</cp:lastModifiedBy>
  <dcterms:created xsi:type="dcterms:W3CDTF">2026-04-25T02:34:29Z</dcterms:created>
  <dcterms:modified xsi:type="dcterms:W3CDTF">2026-04-25T02:36:23Z</dcterms:modified>
</cp:coreProperties>
</file>